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4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20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Наставництво_2.0\12_Excel p.1\челендж Youtube\"/>
    </mc:Choice>
  </mc:AlternateContent>
  <xr:revisionPtr revIDLastSave="0" documentId="13_ncr:1_{48C08410-2F1D-4C9C-A456-47E4DF8BF2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 1" sheetId="9" r:id="rId1"/>
    <sheet name="Tab 2" sheetId="10" r:id="rId2"/>
    <sheet name="Tab 3" sheetId="11" r:id="rId3"/>
    <sheet name="Tab 4" sheetId="12" r:id="rId4"/>
    <sheet name="Tab 5" sheetId="13" r:id="rId5"/>
    <sheet name="Sheet1" sheetId="1" r:id="rId6"/>
    <sheet name="example&gt;" sheetId="8" r:id="rId7"/>
    <sheet name="old_Tab 1" sheetId="3" r:id="rId8"/>
    <sheet name="old_Tab 2" sheetId="4" r:id="rId9"/>
    <sheet name="old_Tab 3" sheetId="5" r:id="rId10"/>
    <sheet name="old_Tab 4" sheetId="6" r:id="rId11"/>
    <sheet name="old_Tab 5" sheetId="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2" i="1" l="1"/>
  <c r="D28" i="1"/>
  <c r="D27" i="1"/>
  <c r="D26" i="1"/>
  <c r="D25" i="1"/>
  <c r="D24" i="1"/>
  <c r="D23" i="1"/>
  <c r="H18" i="1"/>
  <c r="I18" i="1"/>
  <c r="J18" i="1"/>
  <c r="G18" i="1"/>
  <c r="C18" i="1"/>
  <c r="D21" i="1" s="1"/>
  <c r="K7" i="1"/>
  <c r="K8" i="1"/>
  <c r="K9" i="1"/>
  <c r="K10" i="1"/>
  <c r="K11" i="1"/>
  <c r="K12" i="1"/>
  <c r="K13" i="1"/>
  <c r="K14" i="1"/>
  <c r="K15" i="1"/>
  <c r="K16" i="1"/>
  <c r="K17" i="1"/>
  <c r="K6" i="1"/>
  <c r="K18" i="1" s="1"/>
  <c r="D29" i="1" s="1"/>
  <c r="D7" i="1"/>
  <c r="D8" i="1"/>
  <c r="D9" i="1"/>
  <c r="D10" i="1"/>
  <c r="D11" i="1"/>
  <c r="D12" i="1"/>
  <c r="D13" i="1"/>
  <c r="D14" i="1"/>
  <c r="D15" i="1"/>
  <c r="D16" i="1"/>
  <c r="D17" i="1"/>
  <c r="D6" i="1"/>
  <c r="D18" i="1" s="1"/>
  <c r="D22" i="1" s="1"/>
</calcChain>
</file>

<file path=xl/sharedStrings.xml><?xml version="1.0" encoding="utf-8"?>
<sst xmlns="http://schemas.openxmlformats.org/spreadsheetml/2006/main" count="47" uniqueCount="34">
  <si>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</si>
  <si>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</si>
  <si>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</si>
  <si>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</si>
  <si>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</si>
  <si>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</si>
  <si>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</si>
  <si>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</si>
  <si>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</si>
  <si>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</si>
  <si>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</si>
  <si>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</si>
  <si>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Visits</t>
  </si>
  <si>
    <t>Page Views</t>
  </si>
  <si>
    <t>Bounce Rate</t>
  </si>
  <si>
    <t>Exit Rate</t>
  </si>
  <si>
    <t>Organic Traffic</t>
  </si>
  <si>
    <t>Paid Traffic</t>
  </si>
  <si>
    <t>Direct</t>
  </si>
  <si>
    <t>Social</t>
  </si>
  <si>
    <t>Referral</t>
  </si>
  <si>
    <t>Month</t>
  </si>
  <si>
    <t>Japan</t>
  </si>
  <si>
    <t>India</t>
  </si>
  <si>
    <t>USA</t>
  </si>
  <si>
    <t>Canada</t>
  </si>
  <si>
    <t>Australia</t>
  </si>
  <si>
    <t>Europe</t>
  </si>
  <si>
    <t>Mexico</t>
  </si>
  <si>
    <t>Top Location</t>
  </si>
  <si>
    <t>Performance Analytics Dashboard</t>
  </si>
  <si>
    <t>1st Jun - 15th Sep</t>
  </si>
  <si>
    <t>Quarterly Report</t>
  </si>
  <si>
    <t>This is the first insight. You can some actionable insight and recommendation here. This is a dummy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</si>
</sst>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Montserrat"/>
    </font>
    <font>
      <sz val="8"/>
      <color theme="1"/>
      <name val="Montserrat"/>
    </font>
    <font>
      <sz val="8"/>
      <color rgb="FFFF000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9" fontId="3" fillId="0" borderId="0" xfId="0" applyNumberFormat="1" applyFont="1"/>
    <xf numFmtId="9" fontId="2" fillId="0" borderId="0" xfId="0" applyNumberFormat="1" applyFont="1"/>
    <xf numFmtId="0" fontId="4" fillId="0" borderId="0" xfId="0" applyFont="1"/>
    <xf numFmtId="0" fontId="0" fillId="2" borderId="0" xfId="0" applyFill="1"/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A4269"/>
      <color rgb="FF174F4E"/>
      <color rgb="FF267E7C"/>
      <color rgb="FF81D9D7"/>
      <color rgb="FFC2B7EF"/>
      <color rgb="FF7C67DC"/>
      <color rgb="FFFEA4F3"/>
      <color rgb="FFFFFFFF"/>
      <color rgb="FF9B2BA1"/>
      <color rgb="FFA3AA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Visits</c:v>
                </c:pt>
              </c:strCache>
            </c:strRef>
          </c:tx>
          <c:spPr>
            <a:ln w="44450" cap="rnd">
              <a:solidFill>
                <a:srgbClr val="CAE7F5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Sheet1!$C$6:$C$17</c:f>
              <c:numCache>
                <c:formatCode>General</c:formatCode>
                <c:ptCount val="12"/>
                <c:pt idx="0">
                  <c:v>5500</c:v>
                </c:pt>
                <c:pt idx="1">
                  <c:v>5400</c:v>
                </c:pt>
                <c:pt idx="2">
                  <c:v>5600</c:v>
                </c:pt>
                <c:pt idx="3">
                  <c:v>5700</c:v>
                </c:pt>
                <c:pt idx="4">
                  <c:v>5300</c:v>
                </c:pt>
                <c:pt idx="5">
                  <c:v>5400</c:v>
                </c:pt>
                <c:pt idx="6">
                  <c:v>5500</c:v>
                </c:pt>
                <c:pt idx="7">
                  <c:v>5100</c:v>
                </c:pt>
                <c:pt idx="8">
                  <c:v>5200</c:v>
                </c:pt>
                <c:pt idx="9">
                  <c:v>5800</c:v>
                </c:pt>
                <c:pt idx="10">
                  <c:v>5600</c:v>
                </c:pt>
                <c:pt idx="11">
                  <c:v>5700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3B-47F4-8E71-E1F328474F22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Page Views</c:v>
                </c:pt>
              </c:strCache>
            </c:strRef>
          </c:tx>
          <c:spPr>
            <a:ln w="44450" cap="rnd">
              <a:solidFill>
                <a:srgbClr val="206B68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General</c:formatCode>
                <c:ptCount val="12"/>
                <c:pt idx="0">
                  <c:v>8390</c:v>
                </c:pt>
                <c:pt idx="1">
                  <c:v>8290</c:v>
                </c:pt>
                <c:pt idx="2">
                  <c:v>8490</c:v>
                </c:pt>
                <c:pt idx="3">
                  <c:v>8590</c:v>
                </c:pt>
                <c:pt idx="4">
                  <c:v>8190</c:v>
                </c:pt>
                <c:pt idx="5">
                  <c:v>8290</c:v>
                </c:pt>
                <c:pt idx="6">
                  <c:v>8390</c:v>
                </c:pt>
                <c:pt idx="7">
                  <c:v>7990</c:v>
                </c:pt>
                <c:pt idx="8">
                  <c:v>8090</c:v>
                </c:pt>
                <c:pt idx="9">
                  <c:v>8690</c:v>
                </c:pt>
                <c:pt idx="10">
                  <c:v>8490</c:v>
                </c:pt>
                <c:pt idx="11">
                  <c:v>8590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E3B-47F4-8E71-E1F328474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036720"/>
        <c:axId val="1209042544"/>
      </c:lineChart>
      <c:catAx>
        <c:axId val="120903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209042544"/>
        <c:crosses val="autoZero"/>
        <c:auto val="1"/>
        <c:lblAlgn val="ctr"/>
        <c:lblOffset val="100"/>
        <c:tickLblSkip val="1"/>
        <c:noMultiLvlLbl val="0"/>
      </c:catAx>
      <c:valAx>
        <c:axId val="1209042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0903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Montserrat" panose="00000500000000000000" pitchFamily="2" charset="-52"/>
        </a:defRPr>
      </a:pPr>
      <a:endParaRPr lang="uk-UA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Bounce Rate</c:v>
                </c:pt>
              </c:strCache>
            </c:strRef>
          </c:tx>
          <c:spPr>
            <a:ln w="44450" cap="rnd">
              <a:solidFill>
                <a:srgbClr val="6B76AD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Sheet1!$E$6:$E$17</c:f>
              <c:numCache>
                <c:formatCode>0%</c:formatCode>
                <c:ptCount val="12"/>
                <c:pt idx="0">
                  <c:v>0.5</c:v>
                </c:pt>
                <c:pt idx="1">
                  <c:v>0.45</c:v>
                </c:pt>
                <c:pt idx="2">
                  <c:v>0.43</c:v>
                </c:pt>
                <c:pt idx="3">
                  <c:v>0.45</c:v>
                </c:pt>
                <c:pt idx="4">
                  <c:v>0.46</c:v>
                </c:pt>
                <c:pt idx="5">
                  <c:v>0.5</c:v>
                </c:pt>
                <c:pt idx="6">
                  <c:v>0.45</c:v>
                </c:pt>
                <c:pt idx="7">
                  <c:v>0.53</c:v>
                </c:pt>
                <c:pt idx="8">
                  <c:v>0.45</c:v>
                </c:pt>
                <c:pt idx="9">
                  <c:v>0.39</c:v>
                </c:pt>
                <c:pt idx="10">
                  <c:v>0.48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FD-4A5F-963E-700A74DB90BF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Exit Rate</c:v>
                </c:pt>
              </c:strCache>
            </c:strRef>
          </c:tx>
          <c:spPr>
            <a:ln w="44450" cap="rnd">
              <a:solidFill>
                <a:srgbClr val="C642CD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Sheet1!$F$6:$F$17</c:f>
              <c:numCache>
                <c:formatCode>0%</c:formatCode>
                <c:ptCount val="12"/>
                <c:pt idx="0">
                  <c:v>0.39</c:v>
                </c:pt>
                <c:pt idx="1">
                  <c:v>0.48</c:v>
                </c:pt>
                <c:pt idx="2">
                  <c:v>0.46</c:v>
                </c:pt>
                <c:pt idx="3">
                  <c:v>0.45</c:v>
                </c:pt>
                <c:pt idx="4">
                  <c:v>0.53</c:v>
                </c:pt>
                <c:pt idx="5">
                  <c:v>0.45</c:v>
                </c:pt>
                <c:pt idx="6">
                  <c:v>0.43</c:v>
                </c:pt>
                <c:pt idx="7">
                  <c:v>0.45</c:v>
                </c:pt>
                <c:pt idx="8">
                  <c:v>0.46</c:v>
                </c:pt>
                <c:pt idx="9">
                  <c:v>0.5</c:v>
                </c:pt>
                <c:pt idx="10">
                  <c:v>0.45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FD-4A5F-963E-700A74DB9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575200"/>
        <c:axId val="1626205632"/>
      </c:lineChart>
      <c:catAx>
        <c:axId val="13705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626205632"/>
        <c:crosses val="autoZero"/>
        <c:auto val="1"/>
        <c:lblAlgn val="ctr"/>
        <c:lblOffset val="100"/>
        <c:noMultiLvlLbl val="0"/>
      </c:catAx>
      <c:valAx>
        <c:axId val="16262056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7057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98037841893647E-2"/>
          <c:y val="0.10714285714285714"/>
          <c:w val="0.89320392431621276"/>
          <c:h val="0.627112485939257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Organic Traffic</c:v>
                </c:pt>
              </c:strCache>
            </c:strRef>
          </c:tx>
          <c:spPr>
            <a:solidFill>
              <a:srgbClr val="A3AACC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Sheet1!$G$6:$G$17</c:f>
              <c:numCache>
                <c:formatCode>General</c:formatCode>
                <c:ptCount val="12"/>
                <c:pt idx="0">
                  <c:v>2400</c:v>
                </c:pt>
                <c:pt idx="1">
                  <c:v>2600</c:v>
                </c:pt>
                <c:pt idx="2">
                  <c:v>2700</c:v>
                </c:pt>
                <c:pt idx="3">
                  <c:v>3200</c:v>
                </c:pt>
                <c:pt idx="4">
                  <c:v>2100</c:v>
                </c:pt>
                <c:pt idx="5">
                  <c:v>2400</c:v>
                </c:pt>
                <c:pt idx="6">
                  <c:v>2600</c:v>
                </c:pt>
                <c:pt idx="7">
                  <c:v>2700</c:v>
                </c:pt>
                <c:pt idx="8">
                  <c:v>2600</c:v>
                </c:pt>
                <c:pt idx="9">
                  <c:v>2300</c:v>
                </c:pt>
                <c:pt idx="10">
                  <c:v>2800</c:v>
                </c:pt>
                <c:pt idx="11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B-47D7-808B-0AC73198764D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Paid Traffic</c:v>
                </c:pt>
              </c:strCache>
            </c:strRef>
          </c:tx>
          <c:spPr>
            <a:solidFill>
              <a:srgbClr val="9B2BA1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Sheet1!$H$6:$H$17</c:f>
              <c:numCache>
                <c:formatCode>General</c:formatCode>
                <c:ptCount val="12"/>
                <c:pt idx="0">
                  <c:v>450</c:v>
                </c:pt>
                <c:pt idx="1">
                  <c:v>650</c:v>
                </c:pt>
                <c:pt idx="2">
                  <c:v>750</c:v>
                </c:pt>
                <c:pt idx="3">
                  <c:v>650</c:v>
                </c:pt>
                <c:pt idx="4">
                  <c:v>480</c:v>
                </c:pt>
                <c:pt idx="5">
                  <c:v>560</c:v>
                </c:pt>
                <c:pt idx="6">
                  <c:v>790</c:v>
                </c:pt>
                <c:pt idx="7">
                  <c:v>670</c:v>
                </c:pt>
                <c:pt idx="8">
                  <c:v>560</c:v>
                </c:pt>
                <c:pt idx="9">
                  <c:v>730</c:v>
                </c:pt>
                <c:pt idx="10">
                  <c:v>640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B-47D7-808B-0AC731987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6201472"/>
        <c:axId val="1626206048"/>
      </c:barChart>
      <c:catAx>
        <c:axId val="162620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626206048"/>
        <c:crosses val="autoZero"/>
        <c:auto val="1"/>
        <c:lblAlgn val="ctr"/>
        <c:lblOffset val="100"/>
        <c:noMultiLvlLbl val="0"/>
      </c:catAx>
      <c:valAx>
        <c:axId val="16262060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620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76659022419254"/>
          <c:y val="9.5758107249080113E-2"/>
          <c:w val="0.81381959111408519"/>
          <c:h val="0.660623059897827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3A4269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Sheet1!$I$6:$I$17</c:f>
              <c:numCache>
                <c:formatCode>General</c:formatCode>
                <c:ptCount val="12"/>
                <c:pt idx="0">
                  <c:v>790</c:v>
                </c:pt>
                <c:pt idx="1">
                  <c:v>670</c:v>
                </c:pt>
                <c:pt idx="2">
                  <c:v>560</c:v>
                </c:pt>
                <c:pt idx="3">
                  <c:v>730</c:v>
                </c:pt>
                <c:pt idx="4">
                  <c:v>750</c:v>
                </c:pt>
                <c:pt idx="5">
                  <c:v>650</c:v>
                </c:pt>
                <c:pt idx="6">
                  <c:v>730</c:v>
                </c:pt>
                <c:pt idx="7">
                  <c:v>640</c:v>
                </c:pt>
                <c:pt idx="8">
                  <c:v>350</c:v>
                </c:pt>
                <c:pt idx="9">
                  <c:v>750</c:v>
                </c:pt>
                <c:pt idx="10">
                  <c:v>650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C-4E95-9009-AF8068E5D08E}"/>
            </c:ext>
          </c:extLst>
        </c:ser>
        <c:ser>
          <c:idx val="1"/>
          <c:order val="1"/>
          <c:tx>
            <c:strRef>
              <c:f>Sheet1!$J$5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rgbClr val="8C2791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Sheet1!$J$6:$J$17</c:f>
              <c:numCache>
                <c:formatCode>General</c:formatCode>
                <c:ptCount val="12"/>
                <c:pt idx="0">
                  <c:v>180</c:v>
                </c:pt>
                <c:pt idx="1">
                  <c:v>210</c:v>
                </c:pt>
                <c:pt idx="2">
                  <c:v>230</c:v>
                </c:pt>
                <c:pt idx="3">
                  <c:v>240</c:v>
                </c:pt>
                <c:pt idx="4">
                  <c:v>190</c:v>
                </c:pt>
                <c:pt idx="5">
                  <c:v>170</c:v>
                </c:pt>
                <c:pt idx="6">
                  <c:v>160</c:v>
                </c:pt>
                <c:pt idx="7">
                  <c:v>180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1C-4E95-9009-AF8068E5D08E}"/>
            </c:ext>
          </c:extLst>
        </c:ser>
        <c:ser>
          <c:idx val="2"/>
          <c:order val="2"/>
          <c:tx>
            <c:strRef>
              <c:f>Sheet1!$K$5</c:f>
              <c:strCache>
                <c:ptCount val="1"/>
                <c:pt idx="0">
                  <c:v>Referral</c:v>
                </c:pt>
              </c:strCache>
            </c:strRef>
          </c:tx>
          <c:spPr>
            <a:solidFill>
              <a:srgbClr val="BDC2DB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Sheet1!$K$6:$K$17</c:f>
              <c:numCache>
                <c:formatCode>General</c:formatCode>
                <c:ptCount val="12"/>
                <c:pt idx="0">
                  <c:v>1680</c:v>
                </c:pt>
                <c:pt idx="1">
                  <c:v>1270</c:v>
                </c:pt>
                <c:pt idx="2">
                  <c:v>1360</c:v>
                </c:pt>
                <c:pt idx="3">
                  <c:v>880</c:v>
                </c:pt>
                <c:pt idx="4">
                  <c:v>1780</c:v>
                </c:pt>
                <c:pt idx="5">
                  <c:v>1620</c:v>
                </c:pt>
                <c:pt idx="6">
                  <c:v>1220</c:v>
                </c:pt>
                <c:pt idx="7">
                  <c:v>910</c:v>
                </c:pt>
                <c:pt idx="8">
                  <c:v>1500</c:v>
                </c:pt>
                <c:pt idx="9">
                  <c:v>1790</c:v>
                </c:pt>
                <c:pt idx="10">
                  <c:v>1240</c:v>
                </c:pt>
                <c:pt idx="11">
                  <c:v>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1C-4E95-9009-AF8068E5D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1541104"/>
        <c:axId val="1721544432"/>
      </c:barChart>
      <c:catAx>
        <c:axId val="172154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721544432"/>
        <c:crosses val="autoZero"/>
        <c:auto val="1"/>
        <c:lblAlgn val="ctr"/>
        <c:lblOffset val="100"/>
        <c:noMultiLvlLbl val="0"/>
      </c:catAx>
      <c:valAx>
        <c:axId val="17215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72154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85330402651244"/>
          <c:y val="0.8641365878329782"/>
          <c:w val="0.54629300470039899"/>
          <c:h val="0.106399379167304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 algn="ctr">
        <a:defRPr lang="en-US" sz="7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Montserrat" panose="00000500000000000000" pitchFamily="2" charset="-52"/>
          <a:ea typeface="+mn-ea"/>
          <a:cs typeface="+mn-cs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/>
            </a:solidFill>
            <a:ln w="12700"/>
          </c:spPr>
          <c:dPt>
            <c:idx val="0"/>
            <c:bubble3D val="0"/>
            <c:spPr>
              <a:solidFill>
                <a:srgbClr val="7C67DC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D5-4578-A9E1-B90C675D5454}"/>
              </c:ext>
            </c:extLst>
          </c:dPt>
          <c:dPt>
            <c:idx val="1"/>
            <c:bubble3D val="0"/>
            <c:spPr>
              <a:solidFill>
                <a:srgbClr val="C642CD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D5-4578-A9E1-B90C675D5454}"/>
              </c:ext>
            </c:extLst>
          </c:dPt>
          <c:dPt>
            <c:idx val="2"/>
            <c:bubble3D val="0"/>
            <c:spPr>
              <a:solidFill>
                <a:srgbClr val="174F4E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D5-4578-A9E1-B90C675D5454}"/>
              </c:ext>
            </c:extLst>
          </c:dPt>
          <c:dPt>
            <c:idx val="3"/>
            <c:bubble3D val="0"/>
            <c:spPr>
              <a:solidFill>
                <a:srgbClr val="267E7C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6D5-4578-A9E1-B90C675D5454}"/>
              </c:ext>
            </c:extLst>
          </c:dPt>
          <c:dPt>
            <c:idx val="4"/>
            <c:bubble3D val="0"/>
            <c:spPr>
              <a:solidFill>
                <a:srgbClr val="81D9D7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6D5-4578-A9E1-B90C675D5454}"/>
              </c:ext>
            </c:extLst>
          </c:dPt>
          <c:dPt>
            <c:idx val="5"/>
            <c:bubble3D val="0"/>
            <c:spPr>
              <a:solidFill>
                <a:srgbClr val="FEA4F3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6D5-4578-A9E1-B90C675D5454}"/>
              </c:ext>
            </c:extLst>
          </c:dPt>
          <c:dPt>
            <c:idx val="6"/>
            <c:bubble3D val="0"/>
            <c:spPr>
              <a:solidFill>
                <a:srgbClr val="C2B7EF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6D5-4578-A9E1-B90C675D5454}"/>
              </c:ext>
            </c:extLst>
          </c:dPt>
          <c:dLbls>
            <c:dLbl>
              <c:idx val="0"/>
              <c:layout>
                <c:manualLayout>
                  <c:x val="7.2815589645737824E-2"/>
                  <c:y val="-9.73450649118075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D5-4578-A9E1-B90C675D5454}"/>
                </c:ext>
              </c:extLst>
            </c:dLbl>
            <c:dLbl>
              <c:idx val="1"/>
              <c:layout>
                <c:manualLayout>
                  <c:x val="0.1262136887192789"/>
                  <c:y val="7.96459622005698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D5-4578-A9E1-B90C675D5454}"/>
                </c:ext>
              </c:extLst>
            </c:dLbl>
            <c:dLbl>
              <c:idx val="2"/>
              <c:layout>
                <c:manualLayout>
                  <c:x val="3.8834981144393418E-2"/>
                  <c:y val="8.849551355618864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D5-4578-A9E1-B90C675D5454}"/>
                </c:ext>
              </c:extLst>
            </c:dLbl>
            <c:dLbl>
              <c:idx val="3"/>
              <c:layout>
                <c:manualLayout>
                  <c:x val="-8.7378707574885389E-2"/>
                  <c:y val="0.106194616267426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D5-4578-A9E1-B90C675D5454}"/>
                </c:ext>
              </c:extLst>
            </c:dLbl>
            <c:dLbl>
              <c:idx val="4"/>
              <c:layout>
                <c:manualLayout>
                  <c:x val="-0.10679619814708213"/>
                  <c:y val="4.86725324559037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6D5-4578-A9E1-B90C675D5454}"/>
                </c:ext>
              </c:extLst>
            </c:dLbl>
            <c:dLbl>
              <c:idx val="5"/>
              <c:layout>
                <c:manualLayout>
                  <c:x val="-0.10679619814708213"/>
                  <c:y val="-9.29202892339981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6D5-4578-A9E1-B90C675D5454}"/>
                </c:ext>
              </c:extLst>
            </c:dLbl>
            <c:dLbl>
              <c:idx val="6"/>
              <c:layout>
                <c:manualLayout>
                  <c:x val="-3.3980608501344316E-2"/>
                  <c:y val="-8.40707378783792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6D5-4578-A9E1-B90C675D54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0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Sheet1!$H$22:$H$28</c:f>
              <c:strCache>
                <c:ptCount val="7"/>
                <c:pt idx="0">
                  <c:v>Japan</c:v>
                </c:pt>
                <c:pt idx="1">
                  <c:v>India</c:v>
                </c:pt>
                <c:pt idx="2">
                  <c:v>USA</c:v>
                </c:pt>
                <c:pt idx="3">
                  <c:v>Canada</c:v>
                </c:pt>
                <c:pt idx="4">
                  <c:v>Australia</c:v>
                </c:pt>
                <c:pt idx="5">
                  <c:v>Europe</c:v>
                </c:pt>
                <c:pt idx="6">
                  <c:v>Mexico</c:v>
                </c:pt>
              </c:strCache>
            </c:strRef>
          </c:cat>
          <c:val>
            <c:numRef>
              <c:f>Sheet1!$I$22:$I$28</c:f>
              <c:numCache>
                <c:formatCode>General</c:formatCode>
                <c:ptCount val="7"/>
                <c:pt idx="0">
                  <c:v>34000</c:v>
                </c:pt>
                <c:pt idx="1">
                  <c:v>33000</c:v>
                </c:pt>
                <c:pt idx="2">
                  <c:v>25690</c:v>
                </c:pt>
                <c:pt idx="3">
                  <c:v>13750</c:v>
                </c:pt>
                <c:pt idx="4">
                  <c:v>19560</c:v>
                </c:pt>
                <c:pt idx="5">
                  <c:v>17540</c:v>
                </c:pt>
                <c:pt idx="6">
                  <c:v>22340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6D5-4578-A9E1-B90C675D54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Visits</c:v>
                </c:pt>
              </c:strCache>
            </c:strRef>
          </c:tx>
          <c:spPr>
            <a:ln w="44450" cap="rnd">
              <a:solidFill>
                <a:srgbClr val="CAE7F5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Sheet1!$C$6:$C$17</c:f>
              <c:numCache>
                <c:formatCode>General</c:formatCode>
                <c:ptCount val="12"/>
                <c:pt idx="0">
                  <c:v>5500</c:v>
                </c:pt>
                <c:pt idx="1">
                  <c:v>5400</c:v>
                </c:pt>
                <c:pt idx="2">
                  <c:v>5600</c:v>
                </c:pt>
                <c:pt idx="3">
                  <c:v>5700</c:v>
                </c:pt>
                <c:pt idx="4">
                  <c:v>5300</c:v>
                </c:pt>
                <c:pt idx="5">
                  <c:v>5400</c:v>
                </c:pt>
                <c:pt idx="6">
                  <c:v>5500</c:v>
                </c:pt>
                <c:pt idx="7">
                  <c:v>5100</c:v>
                </c:pt>
                <c:pt idx="8">
                  <c:v>5200</c:v>
                </c:pt>
                <c:pt idx="9">
                  <c:v>5800</c:v>
                </c:pt>
                <c:pt idx="10">
                  <c:v>5600</c:v>
                </c:pt>
                <c:pt idx="11">
                  <c:v>5700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24-4BD6-9D1F-DD32D80FD92E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Page Views</c:v>
                </c:pt>
              </c:strCache>
            </c:strRef>
          </c:tx>
          <c:spPr>
            <a:ln w="44450" cap="rnd">
              <a:solidFill>
                <a:srgbClr val="206B68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General</c:formatCode>
                <c:ptCount val="12"/>
                <c:pt idx="0">
                  <c:v>8390</c:v>
                </c:pt>
                <c:pt idx="1">
                  <c:v>8290</c:v>
                </c:pt>
                <c:pt idx="2">
                  <c:v>8490</c:v>
                </c:pt>
                <c:pt idx="3">
                  <c:v>8590</c:v>
                </c:pt>
                <c:pt idx="4">
                  <c:v>8190</c:v>
                </c:pt>
                <c:pt idx="5">
                  <c:v>8290</c:v>
                </c:pt>
                <c:pt idx="6">
                  <c:v>8390</c:v>
                </c:pt>
                <c:pt idx="7">
                  <c:v>7990</c:v>
                </c:pt>
                <c:pt idx="8">
                  <c:v>8090</c:v>
                </c:pt>
                <c:pt idx="9">
                  <c:v>8690</c:v>
                </c:pt>
                <c:pt idx="10">
                  <c:v>8490</c:v>
                </c:pt>
                <c:pt idx="11">
                  <c:v>8590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24-4BD6-9D1F-DD32D80FD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036720"/>
        <c:axId val="1209042544"/>
      </c:lineChart>
      <c:catAx>
        <c:axId val="120903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209042544"/>
        <c:crosses val="autoZero"/>
        <c:auto val="1"/>
        <c:lblAlgn val="ctr"/>
        <c:lblOffset val="100"/>
        <c:tickLblSkip val="1"/>
        <c:noMultiLvlLbl val="0"/>
      </c:catAx>
      <c:valAx>
        <c:axId val="1209042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0903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Montserrat" panose="00000500000000000000" pitchFamily="2" charset="-52"/>
        </a:defRPr>
      </a:pPr>
      <a:endParaRPr lang="uk-UA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Bounce Rate</c:v>
                </c:pt>
              </c:strCache>
            </c:strRef>
          </c:tx>
          <c:spPr>
            <a:ln w="44450" cap="rnd">
              <a:solidFill>
                <a:srgbClr val="6B76AD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Sheet1!$E$6:$E$17</c:f>
              <c:numCache>
                <c:formatCode>0%</c:formatCode>
                <c:ptCount val="12"/>
                <c:pt idx="0">
                  <c:v>0.5</c:v>
                </c:pt>
                <c:pt idx="1">
                  <c:v>0.45</c:v>
                </c:pt>
                <c:pt idx="2">
                  <c:v>0.43</c:v>
                </c:pt>
                <c:pt idx="3">
                  <c:v>0.45</c:v>
                </c:pt>
                <c:pt idx="4">
                  <c:v>0.46</c:v>
                </c:pt>
                <c:pt idx="5">
                  <c:v>0.5</c:v>
                </c:pt>
                <c:pt idx="6">
                  <c:v>0.45</c:v>
                </c:pt>
                <c:pt idx="7">
                  <c:v>0.53</c:v>
                </c:pt>
                <c:pt idx="8">
                  <c:v>0.45</c:v>
                </c:pt>
                <c:pt idx="9">
                  <c:v>0.39</c:v>
                </c:pt>
                <c:pt idx="10">
                  <c:v>0.48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83-4906-9E3D-B4462E249E0E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Exit Rate</c:v>
                </c:pt>
              </c:strCache>
            </c:strRef>
          </c:tx>
          <c:spPr>
            <a:ln w="44450" cap="rnd">
              <a:solidFill>
                <a:srgbClr val="C642CD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Sheet1!$F$6:$F$17</c:f>
              <c:numCache>
                <c:formatCode>0%</c:formatCode>
                <c:ptCount val="12"/>
                <c:pt idx="0">
                  <c:v>0.39</c:v>
                </c:pt>
                <c:pt idx="1">
                  <c:v>0.48</c:v>
                </c:pt>
                <c:pt idx="2">
                  <c:v>0.46</c:v>
                </c:pt>
                <c:pt idx="3">
                  <c:v>0.45</c:v>
                </c:pt>
                <c:pt idx="4">
                  <c:v>0.53</c:v>
                </c:pt>
                <c:pt idx="5">
                  <c:v>0.45</c:v>
                </c:pt>
                <c:pt idx="6">
                  <c:v>0.43</c:v>
                </c:pt>
                <c:pt idx="7">
                  <c:v>0.45</c:v>
                </c:pt>
                <c:pt idx="8">
                  <c:v>0.46</c:v>
                </c:pt>
                <c:pt idx="9">
                  <c:v>0.5</c:v>
                </c:pt>
                <c:pt idx="10">
                  <c:v>0.45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83-4906-9E3D-B4462E249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575200"/>
        <c:axId val="1626205632"/>
      </c:lineChart>
      <c:catAx>
        <c:axId val="13705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626205632"/>
        <c:crosses val="autoZero"/>
        <c:auto val="1"/>
        <c:lblAlgn val="ctr"/>
        <c:lblOffset val="100"/>
        <c:noMultiLvlLbl val="0"/>
      </c:catAx>
      <c:valAx>
        <c:axId val="16262056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7057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98037841893647E-2"/>
          <c:y val="0.10714285714285714"/>
          <c:w val="0.89320392431621276"/>
          <c:h val="0.627112485939257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Organic Traffic</c:v>
                </c:pt>
              </c:strCache>
            </c:strRef>
          </c:tx>
          <c:spPr>
            <a:solidFill>
              <a:srgbClr val="A3AACC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Sheet1!$G$6:$G$17</c:f>
              <c:numCache>
                <c:formatCode>General</c:formatCode>
                <c:ptCount val="12"/>
                <c:pt idx="0">
                  <c:v>2400</c:v>
                </c:pt>
                <c:pt idx="1">
                  <c:v>2600</c:v>
                </c:pt>
                <c:pt idx="2">
                  <c:v>2700</c:v>
                </c:pt>
                <c:pt idx="3">
                  <c:v>3200</c:v>
                </c:pt>
                <c:pt idx="4">
                  <c:v>2100</c:v>
                </c:pt>
                <c:pt idx="5">
                  <c:v>2400</c:v>
                </c:pt>
                <c:pt idx="6">
                  <c:v>2600</c:v>
                </c:pt>
                <c:pt idx="7">
                  <c:v>2700</c:v>
                </c:pt>
                <c:pt idx="8">
                  <c:v>2600</c:v>
                </c:pt>
                <c:pt idx="9">
                  <c:v>2300</c:v>
                </c:pt>
                <c:pt idx="10">
                  <c:v>2800</c:v>
                </c:pt>
                <c:pt idx="11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9-4CBA-BD9E-7A967493988B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Paid Traffic</c:v>
                </c:pt>
              </c:strCache>
            </c:strRef>
          </c:tx>
          <c:spPr>
            <a:solidFill>
              <a:srgbClr val="9B2BA1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Sheet1!$H$6:$H$17</c:f>
              <c:numCache>
                <c:formatCode>General</c:formatCode>
                <c:ptCount val="12"/>
                <c:pt idx="0">
                  <c:v>450</c:v>
                </c:pt>
                <c:pt idx="1">
                  <c:v>650</c:v>
                </c:pt>
                <c:pt idx="2">
                  <c:v>750</c:v>
                </c:pt>
                <c:pt idx="3">
                  <c:v>650</c:v>
                </c:pt>
                <c:pt idx="4">
                  <c:v>480</c:v>
                </c:pt>
                <c:pt idx="5">
                  <c:v>560</c:v>
                </c:pt>
                <c:pt idx="6">
                  <c:v>790</c:v>
                </c:pt>
                <c:pt idx="7">
                  <c:v>670</c:v>
                </c:pt>
                <c:pt idx="8">
                  <c:v>560</c:v>
                </c:pt>
                <c:pt idx="9">
                  <c:v>730</c:v>
                </c:pt>
                <c:pt idx="10">
                  <c:v>640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99-4CBA-BD9E-7A9674939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6201472"/>
        <c:axId val="1626206048"/>
      </c:barChart>
      <c:catAx>
        <c:axId val="162620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626206048"/>
        <c:crosses val="autoZero"/>
        <c:auto val="1"/>
        <c:lblAlgn val="ctr"/>
        <c:lblOffset val="100"/>
        <c:noMultiLvlLbl val="0"/>
      </c:catAx>
      <c:valAx>
        <c:axId val="16262060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620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76659022419254"/>
          <c:y val="9.5758107249080113E-2"/>
          <c:w val="0.81381959111408519"/>
          <c:h val="0.660623059897827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3A4269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Sheet1!$I$6:$I$17</c:f>
              <c:numCache>
                <c:formatCode>General</c:formatCode>
                <c:ptCount val="12"/>
                <c:pt idx="0">
                  <c:v>790</c:v>
                </c:pt>
                <c:pt idx="1">
                  <c:v>670</c:v>
                </c:pt>
                <c:pt idx="2">
                  <c:v>560</c:v>
                </c:pt>
                <c:pt idx="3">
                  <c:v>730</c:v>
                </c:pt>
                <c:pt idx="4">
                  <c:v>750</c:v>
                </c:pt>
                <c:pt idx="5">
                  <c:v>650</c:v>
                </c:pt>
                <c:pt idx="6">
                  <c:v>730</c:v>
                </c:pt>
                <c:pt idx="7">
                  <c:v>640</c:v>
                </c:pt>
                <c:pt idx="8">
                  <c:v>350</c:v>
                </c:pt>
                <c:pt idx="9">
                  <c:v>750</c:v>
                </c:pt>
                <c:pt idx="10">
                  <c:v>650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4-48AA-AAA5-DA24AD01A985}"/>
            </c:ext>
          </c:extLst>
        </c:ser>
        <c:ser>
          <c:idx val="1"/>
          <c:order val="1"/>
          <c:tx>
            <c:strRef>
              <c:f>Sheet1!$J$5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rgbClr val="8C2791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Sheet1!$J$6:$J$17</c:f>
              <c:numCache>
                <c:formatCode>General</c:formatCode>
                <c:ptCount val="12"/>
                <c:pt idx="0">
                  <c:v>180</c:v>
                </c:pt>
                <c:pt idx="1">
                  <c:v>210</c:v>
                </c:pt>
                <c:pt idx="2">
                  <c:v>230</c:v>
                </c:pt>
                <c:pt idx="3">
                  <c:v>240</c:v>
                </c:pt>
                <c:pt idx="4">
                  <c:v>190</c:v>
                </c:pt>
                <c:pt idx="5">
                  <c:v>170</c:v>
                </c:pt>
                <c:pt idx="6">
                  <c:v>160</c:v>
                </c:pt>
                <c:pt idx="7">
                  <c:v>180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4-48AA-AAA5-DA24AD01A985}"/>
            </c:ext>
          </c:extLst>
        </c:ser>
        <c:ser>
          <c:idx val="2"/>
          <c:order val="2"/>
          <c:tx>
            <c:strRef>
              <c:f>Sheet1!$K$5</c:f>
              <c:strCache>
                <c:ptCount val="1"/>
                <c:pt idx="0">
                  <c:v>Referral</c:v>
                </c:pt>
              </c:strCache>
            </c:strRef>
          </c:tx>
          <c:spPr>
            <a:solidFill>
              <a:srgbClr val="BDC2DB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Sheet1!$K$6:$K$17</c:f>
              <c:numCache>
                <c:formatCode>General</c:formatCode>
                <c:ptCount val="12"/>
                <c:pt idx="0">
                  <c:v>1680</c:v>
                </c:pt>
                <c:pt idx="1">
                  <c:v>1270</c:v>
                </c:pt>
                <c:pt idx="2">
                  <c:v>1360</c:v>
                </c:pt>
                <c:pt idx="3">
                  <c:v>880</c:v>
                </c:pt>
                <c:pt idx="4">
                  <c:v>1780</c:v>
                </c:pt>
                <c:pt idx="5">
                  <c:v>1620</c:v>
                </c:pt>
                <c:pt idx="6">
                  <c:v>1220</c:v>
                </c:pt>
                <c:pt idx="7">
                  <c:v>910</c:v>
                </c:pt>
                <c:pt idx="8">
                  <c:v>1500</c:v>
                </c:pt>
                <c:pt idx="9">
                  <c:v>1790</c:v>
                </c:pt>
                <c:pt idx="10">
                  <c:v>1240</c:v>
                </c:pt>
                <c:pt idx="11">
                  <c:v>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A4-48AA-AAA5-DA24AD01A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1541104"/>
        <c:axId val="1721544432"/>
      </c:barChart>
      <c:catAx>
        <c:axId val="172154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721544432"/>
        <c:crosses val="autoZero"/>
        <c:auto val="1"/>
        <c:lblAlgn val="ctr"/>
        <c:lblOffset val="100"/>
        <c:noMultiLvlLbl val="0"/>
      </c:catAx>
      <c:valAx>
        <c:axId val="17215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72154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85330402651244"/>
          <c:y val="0.8641365878329782"/>
          <c:w val="0.54629300470039899"/>
          <c:h val="0.106399379167304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 algn="ctr">
        <a:defRPr lang="en-US" sz="7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Montserrat" panose="00000500000000000000" pitchFamily="2" charset="-52"/>
          <a:ea typeface="+mn-ea"/>
          <a:cs typeface="+mn-cs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/>
            </a:solidFill>
            <a:ln w="12700"/>
          </c:spPr>
          <c:dPt>
            <c:idx val="0"/>
            <c:bubble3D val="0"/>
            <c:spPr>
              <a:solidFill>
                <a:srgbClr val="7C67DC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E4-41C6-85A2-B015AA700ADD}"/>
              </c:ext>
            </c:extLst>
          </c:dPt>
          <c:dPt>
            <c:idx val="1"/>
            <c:bubble3D val="0"/>
            <c:spPr>
              <a:solidFill>
                <a:srgbClr val="C642CD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E4-41C6-85A2-B015AA700ADD}"/>
              </c:ext>
            </c:extLst>
          </c:dPt>
          <c:dPt>
            <c:idx val="2"/>
            <c:bubble3D val="0"/>
            <c:spPr>
              <a:solidFill>
                <a:srgbClr val="174F4E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E4-41C6-85A2-B015AA700ADD}"/>
              </c:ext>
            </c:extLst>
          </c:dPt>
          <c:dPt>
            <c:idx val="3"/>
            <c:bubble3D val="0"/>
            <c:spPr>
              <a:solidFill>
                <a:srgbClr val="267E7C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4-41C6-85A2-B015AA700ADD}"/>
              </c:ext>
            </c:extLst>
          </c:dPt>
          <c:dPt>
            <c:idx val="4"/>
            <c:bubble3D val="0"/>
            <c:spPr>
              <a:solidFill>
                <a:srgbClr val="81D9D7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8E4-41C6-85A2-B015AA700ADD}"/>
              </c:ext>
            </c:extLst>
          </c:dPt>
          <c:dPt>
            <c:idx val="5"/>
            <c:bubble3D val="0"/>
            <c:spPr>
              <a:solidFill>
                <a:srgbClr val="FEA4F3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8E4-41C6-85A2-B015AA700ADD}"/>
              </c:ext>
            </c:extLst>
          </c:dPt>
          <c:dPt>
            <c:idx val="6"/>
            <c:bubble3D val="0"/>
            <c:spPr>
              <a:solidFill>
                <a:srgbClr val="C2B7EF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8E4-41C6-85A2-B015AA700ADD}"/>
              </c:ext>
            </c:extLst>
          </c:dPt>
          <c:dLbls>
            <c:dLbl>
              <c:idx val="0"/>
              <c:layout>
                <c:manualLayout>
                  <c:x val="7.2815589645737824E-2"/>
                  <c:y val="-9.73450649118075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E4-41C6-85A2-B015AA700ADD}"/>
                </c:ext>
              </c:extLst>
            </c:dLbl>
            <c:dLbl>
              <c:idx val="1"/>
              <c:layout>
                <c:manualLayout>
                  <c:x val="0.1262136887192789"/>
                  <c:y val="7.96459622005698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E4-41C6-85A2-B015AA700ADD}"/>
                </c:ext>
              </c:extLst>
            </c:dLbl>
            <c:dLbl>
              <c:idx val="2"/>
              <c:layout>
                <c:manualLayout>
                  <c:x val="3.8834981144393418E-2"/>
                  <c:y val="8.849551355618864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E4-41C6-85A2-B015AA700ADD}"/>
                </c:ext>
              </c:extLst>
            </c:dLbl>
            <c:dLbl>
              <c:idx val="3"/>
              <c:layout>
                <c:manualLayout>
                  <c:x val="-8.7378707574885389E-2"/>
                  <c:y val="0.106194616267426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E4-41C6-85A2-B015AA700ADD}"/>
                </c:ext>
              </c:extLst>
            </c:dLbl>
            <c:dLbl>
              <c:idx val="4"/>
              <c:layout>
                <c:manualLayout>
                  <c:x val="-0.10679619814708213"/>
                  <c:y val="4.86725324559037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8E4-41C6-85A2-B015AA700ADD}"/>
                </c:ext>
              </c:extLst>
            </c:dLbl>
            <c:dLbl>
              <c:idx val="5"/>
              <c:layout>
                <c:manualLayout>
                  <c:x val="-0.10679619814708213"/>
                  <c:y val="-9.29202892339981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8E4-41C6-85A2-B015AA700ADD}"/>
                </c:ext>
              </c:extLst>
            </c:dLbl>
            <c:dLbl>
              <c:idx val="6"/>
              <c:layout>
                <c:manualLayout>
                  <c:x val="-3.3980608501344316E-2"/>
                  <c:y val="-8.40707378783792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8E4-41C6-85A2-B015AA700A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0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Sheet1!$H$22:$H$28</c:f>
              <c:strCache>
                <c:ptCount val="7"/>
                <c:pt idx="0">
                  <c:v>Japan</c:v>
                </c:pt>
                <c:pt idx="1">
                  <c:v>India</c:v>
                </c:pt>
                <c:pt idx="2">
                  <c:v>USA</c:v>
                </c:pt>
                <c:pt idx="3">
                  <c:v>Canada</c:v>
                </c:pt>
                <c:pt idx="4">
                  <c:v>Australia</c:v>
                </c:pt>
                <c:pt idx="5">
                  <c:v>Europe</c:v>
                </c:pt>
                <c:pt idx="6">
                  <c:v>Mexico</c:v>
                </c:pt>
              </c:strCache>
            </c:strRef>
          </c:cat>
          <c:val>
            <c:numRef>
              <c:f>Sheet1!$I$22:$I$28</c:f>
              <c:numCache>
                <c:formatCode>General</c:formatCode>
                <c:ptCount val="7"/>
                <c:pt idx="0">
                  <c:v>34000</c:v>
                </c:pt>
                <c:pt idx="1">
                  <c:v>33000</c:v>
                </c:pt>
                <c:pt idx="2">
                  <c:v>25690</c:v>
                </c:pt>
                <c:pt idx="3">
                  <c:v>13750</c:v>
                </c:pt>
                <c:pt idx="4">
                  <c:v>19560</c:v>
                </c:pt>
                <c:pt idx="5">
                  <c:v>17540</c:v>
                </c:pt>
                <c:pt idx="6">
                  <c:v>22340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8E4-41C6-85A2-B015AA700A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Visits</c:v>
                </c:pt>
              </c:strCache>
            </c:strRef>
          </c:tx>
          <c:spPr>
            <a:ln w="44450" cap="rnd">
              <a:solidFill>
                <a:srgbClr val="CAE7F5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Sheet1!$C$6:$C$17</c:f>
              <c:numCache>
                <c:formatCode>General</c:formatCode>
                <c:ptCount val="12"/>
                <c:pt idx="0">
                  <c:v>5500</c:v>
                </c:pt>
                <c:pt idx="1">
                  <c:v>5400</c:v>
                </c:pt>
                <c:pt idx="2">
                  <c:v>5600</c:v>
                </c:pt>
                <c:pt idx="3">
                  <c:v>5700</c:v>
                </c:pt>
                <c:pt idx="4">
                  <c:v>5300</c:v>
                </c:pt>
                <c:pt idx="5">
                  <c:v>5400</c:v>
                </c:pt>
                <c:pt idx="6">
                  <c:v>5500</c:v>
                </c:pt>
                <c:pt idx="7">
                  <c:v>5100</c:v>
                </c:pt>
                <c:pt idx="8">
                  <c:v>5200</c:v>
                </c:pt>
                <c:pt idx="9">
                  <c:v>5800</c:v>
                </c:pt>
                <c:pt idx="10">
                  <c:v>5600</c:v>
                </c:pt>
                <c:pt idx="11">
                  <c:v>5700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BB-45D6-BD2F-A51D9350905F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Page Views</c:v>
                </c:pt>
              </c:strCache>
            </c:strRef>
          </c:tx>
          <c:spPr>
            <a:ln w="44450" cap="rnd">
              <a:solidFill>
                <a:srgbClr val="206B68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General</c:formatCode>
                <c:ptCount val="12"/>
                <c:pt idx="0">
                  <c:v>8390</c:v>
                </c:pt>
                <c:pt idx="1">
                  <c:v>8290</c:v>
                </c:pt>
                <c:pt idx="2">
                  <c:v>8490</c:v>
                </c:pt>
                <c:pt idx="3">
                  <c:v>8590</c:v>
                </c:pt>
                <c:pt idx="4">
                  <c:v>8190</c:v>
                </c:pt>
                <c:pt idx="5">
                  <c:v>8290</c:v>
                </c:pt>
                <c:pt idx="6">
                  <c:v>8390</c:v>
                </c:pt>
                <c:pt idx="7">
                  <c:v>7990</c:v>
                </c:pt>
                <c:pt idx="8">
                  <c:v>8090</c:v>
                </c:pt>
                <c:pt idx="9">
                  <c:v>8690</c:v>
                </c:pt>
                <c:pt idx="10">
                  <c:v>8490</c:v>
                </c:pt>
                <c:pt idx="11">
                  <c:v>8590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BB-45D6-BD2F-A51D93509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036720"/>
        <c:axId val="1209042544"/>
      </c:lineChart>
      <c:catAx>
        <c:axId val="120903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209042544"/>
        <c:crosses val="autoZero"/>
        <c:auto val="1"/>
        <c:lblAlgn val="ctr"/>
        <c:lblOffset val="100"/>
        <c:tickLblSkip val="1"/>
        <c:noMultiLvlLbl val="0"/>
      </c:catAx>
      <c:valAx>
        <c:axId val="1209042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0903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Montserrat" panose="00000500000000000000" pitchFamily="2" charset="-52"/>
        </a:defRPr>
      </a:pPr>
      <a:endParaRPr lang="uk-UA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Bounce Rate</c:v>
                </c:pt>
              </c:strCache>
            </c:strRef>
          </c:tx>
          <c:spPr>
            <a:ln w="44450" cap="rnd">
              <a:solidFill>
                <a:srgbClr val="6B76AD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Sheet1!$E$6:$E$17</c:f>
              <c:numCache>
                <c:formatCode>0%</c:formatCode>
                <c:ptCount val="12"/>
                <c:pt idx="0">
                  <c:v>0.5</c:v>
                </c:pt>
                <c:pt idx="1">
                  <c:v>0.45</c:v>
                </c:pt>
                <c:pt idx="2">
                  <c:v>0.43</c:v>
                </c:pt>
                <c:pt idx="3">
                  <c:v>0.45</c:v>
                </c:pt>
                <c:pt idx="4">
                  <c:v>0.46</c:v>
                </c:pt>
                <c:pt idx="5">
                  <c:v>0.5</c:v>
                </c:pt>
                <c:pt idx="6">
                  <c:v>0.45</c:v>
                </c:pt>
                <c:pt idx="7">
                  <c:v>0.53</c:v>
                </c:pt>
                <c:pt idx="8">
                  <c:v>0.45</c:v>
                </c:pt>
                <c:pt idx="9">
                  <c:v>0.39</c:v>
                </c:pt>
                <c:pt idx="10">
                  <c:v>0.48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80-40F8-9751-4BB862020164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Exit Rate</c:v>
                </c:pt>
              </c:strCache>
            </c:strRef>
          </c:tx>
          <c:spPr>
            <a:ln w="44450" cap="rnd">
              <a:solidFill>
                <a:srgbClr val="C642CD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Sheet1!$F$6:$F$17</c:f>
              <c:numCache>
                <c:formatCode>0%</c:formatCode>
                <c:ptCount val="12"/>
                <c:pt idx="0">
                  <c:v>0.39</c:v>
                </c:pt>
                <c:pt idx="1">
                  <c:v>0.48</c:v>
                </c:pt>
                <c:pt idx="2">
                  <c:v>0.46</c:v>
                </c:pt>
                <c:pt idx="3">
                  <c:v>0.45</c:v>
                </c:pt>
                <c:pt idx="4">
                  <c:v>0.53</c:v>
                </c:pt>
                <c:pt idx="5">
                  <c:v>0.45</c:v>
                </c:pt>
                <c:pt idx="6">
                  <c:v>0.43</c:v>
                </c:pt>
                <c:pt idx="7">
                  <c:v>0.45</c:v>
                </c:pt>
                <c:pt idx="8">
                  <c:v>0.46</c:v>
                </c:pt>
                <c:pt idx="9">
                  <c:v>0.5</c:v>
                </c:pt>
                <c:pt idx="10">
                  <c:v>0.45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080-40F8-9751-4BB862020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575200"/>
        <c:axId val="1626205632"/>
      </c:lineChart>
      <c:catAx>
        <c:axId val="13705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626205632"/>
        <c:crosses val="autoZero"/>
        <c:auto val="1"/>
        <c:lblAlgn val="ctr"/>
        <c:lblOffset val="100"/>
        <c:noMultiLvlLbl val="0"/>
      </c:catAx>
      <c:valAx>
        <c:axId val="16262056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7057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98037841893647E-2"/>
          <c:y val="0.10714285714285714"/>
          <c:w val="0.89320392431621276"/>
          <c:h val="0.627112485939257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Organic Traffic</c:v>
                </c:pt>
              </c:strCache>
            </c:strRef>
          </c:tx>
          <c:spPr>
            <a:solidFill>
              <a:srgbClr val="A3AACC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Sheet1!$G$6:$G$17</c:f>
              <c:numCache>
                <c:formatCode>General</c:formatCode>
                <c:ptCount val="12"/>
                <c:pt idx="0">
                  <c:v>2400</c:v>
                </c:pt>
                <c:pt idx="1">
                  <c:v>2600</c:v>
                </c:pt>
                <c:pt idx="2">
                  <c:v>2700</c:v>
                </c:pt>
                <c:pt idx="3">
                  <c:v>3200</c:v>
                </c:pt>
                <c:pt idx="4">
                  <c:v>2100</c:v>
                </c:pt>
                <c:pt idx="5">
                  <c:v>2400</c:v>
                </c:pt>
                <c:pt idx="6">
                  <c:v>2600</c:v>
                </c:pt>
                <c:pt idx="7">
                  <c:v>2700</c:v>
                </c:pt>
                <c:pt idx="8">
                  <c:v>2600</c:v>
                </c:pt>
                <c:pt idx="9">
                  <c:v>2300</c:v>
                </c:pt>
                <c:pt idx="10">
                  <c:v>2800</c:v>
                </c:pt>
                <c:pt idx="11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6-4F91-BEB2-01292A316FC6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Paid Traffic</c:v>
                </c:pt>
              </c:strCache>
            </c:strRef>
          </c:tx>
          <c:spPr>
            <a:solidFill>
              <a:srgbClr val="9B2BA1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Sheet1!$H$6:$H$17</c:f>
              <c:numCache>
                <c:formatCode>General</c:formatCode>
                <c:ptCount val="12"/>
                <c:pt idx="0">
                  <c:v>450</c:v>
                </c:pt>
                <c:pt idx="1">
                  <c:v>650</c:v>
                </c:pt>
                <c:pt idx="2">
                  <c:v>750</c:v>
                </c:pt>
                <c:pt idx="3">
                  <c:v>650</c:v>
                </c:pt>
                <c:pt idx="4">
                  <c:v>480</c:v>
                </c:pt>
                <c:pt idx="5">
                  <c:v>560</c:v>
                </c:pt>
                <c:pt idx="6">
                  <c:v>790</c:v>
                </c:pt>
                <c:pt idx="7">
                  <c:v>670</c:v>
                </c:pt>
                <c:pt idx="8">
                  <c:v>560</c:v>
                </c:pt>
                <c:pt idx="9">
                  <c:v>730</c:v>
                </c:pt>
                <c:pt idx="10">
                  <c:v>640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96-4F91-BEB2-01292A316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6201472"/>
        <c:axId val="1626206048"/>
      </c:barChart>
      <c:catAx>
        <c:axId val="162620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626206048"/>
        <c:crosses val="autoZero"/>
        <c:auto val="1"/>
        <c:lblAlgn val="ctr"/>
        <c:lblOffset val="100"/>
        <c:noMultiLvlLbl val="0"/>
      </c:catAx>
      <c:valAx>
        <c:axId val="16262060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620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76659022419254"/>
          <c:y val="9.5758107249080113E-2"/>
          <c:w val="0.81381959111408519"/>
          <c:h val="0.660623059897827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3A4269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Sheet1!$I$6:$I$17</c:f>
              <c:numCache>
                <c:formatCode>General</c:formatCode>
                <c:ptCount val="12"/>
                <c:pt idx="0">
                  <c:v>790</c:v>
                </c:pt>
                <c:pt idx="1">
                  <c:v>670</c:v>
                </c:pt>
                <c:pt idx="2">
                  <c:v>560</c:v>
                </c:pt>
                <c:pt idx="3">
                  <c:v>730</c:v>
                </c:pt>
                <c:pt idx="4">
                  <c:v>750</c:v>
                </c:pt>
                <c:pt idx="5">
                  <c:v>650</c:v>
                </c:pt>
                <c:pt idx="6">
                  <c:v>730</c:v>
                </c:pt>
                <c:pt idx="7">
                  <c:v>640</c:v>
                </c:pt>
                <c:pt idx="8">
                  <c:v>350</c:v>
                </c:pt>
                <c:pt idx="9">
                  <c:v>750</c:v>
                </c:pt>
                <c:pt idx="10">
                  <c:v>650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E-49AB-8554-54EE54C03D92}"/>
            </c:ext>
          </c:extLst>
        </c:ser>
        <c:ser>
          <c:idx val="1"/>
          <c:order val="1"/>
          <c:tx>
            <c:strRef>
              <c:f>Sheet1!$J$5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rgbClr val="8C2791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Sheet1!$J$6:$J$17</c:f>
              <c:numCache>
                <c:formatCode>General</c:formatCode>
                <c:ptCount val="12"/>
                <c:pt idx="0">
                  <c:v>180</c:v>
                </c:pt>
                <c:pt idx="1">
                  <c:v>210</c:v>
                </c:pt>
                <c:pt idx="2">
                  <c:v>230</c:v>
                </c:pt>
                <c:pt idx="3">
                  <c:v>240</c:v>
                </c:pt>
                <c:pt idx="4">
                  <c:v>190</c:v>
                </c:pt>
                <c:pt idx="5">
                  <c:v>170</c:v>
                </c:pt>
                <c:pt idx="6">
                  <c:v>160</c:v>
                </c:pt>
                <c:pt idx="7">
                  <c:v>180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E-49AB-8554-54EE54C03D92}"/>
            </c:ext>
          </c:extLst>
        </c:ser>
        <c:ser>
          <c:idx val="2"/>
          <c:order val="2"/>
          <c:tx>
            <c:strRef>
              <c:f>Sheet1!$K$5</c:f>
              <c:strCache>
                <c:ptCount val="1"/>
                <c:pt idx="0">
                  <c:v>Referral</c:v>
                </c:pt>
              </c:strCache>
            </c:strRef>
          </c:tx>
          <c:spPr>
            <a:solidFill>
              <a:srgbClr val="BDC2DB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Sheet1!$K$6:$K$17</c:f>
              <c:numCache>
                <c:formatCode>General</c:formatCode>
                <c:ptCount val="12"/>
                <c:pt idx="0">
                  <c:v>1680</c:v>
                </c:pt>
                <c:pt idx="1">
                  <c:v>1270</c:v>
                </c:pt>
                <c:pt idx="2">
                  <c:v>1360</c:v>
                </c:pt>
                <c:pt idx="3">
                  <c:v>880</c:v>
                </c:pt>
                <c:pt idx="4">
                  <c:v>1780</c:v>
                </c:pt>
                <c:pt idx="5">
                  <c:v>1620</c:v>
                </c:pt>
                <c:pt idx="6">
                  <c:v>1220</c:v>
                </c:pt>
                <c:pt idx="7">
                  <c:v>910</c:v>
                </c:pt>
                <c:pt idx="8">
                  <c:v>1500</c:v>
                </c:pt>
                <c:pt idx="9">
                  <c:v>1790</c:v>
                </c:pt>
                <c:pt idx="10">
                  <c:v>1240</c:v>
                </c:pt>
                <c:pt idx="11">
                  <c:v>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2E-49AB-8554-54EE54C03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1541104"/>
        <c:axId val="1721544432"/>
      </c:barChart>
      <c:catAx>
        <c:axId val="172154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721544432"/>
        <c:crosses val="autoZero"/>
        <c:auto val="1"/>
        <c:lblAlgn val="ctr"/>
        <c:lblOffset val="100"/>
        <c:noMultiLvlLbl val="0"/>
      </c:catAx>
      <c:valAx>
        <c:axId val="17215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72154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85330402651244"/>
          <c:y val="0.8641365878329782"/>
          <c:w val="0.54629300470039899"/>
          <c:h val="0.106399379167304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 algn="ctr">
        <a:defRPr lang="en-US" sz="7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Montserrat" panose="00000500000000000000" pitchFamily="2" charset="-52"/>
          <a:ea typeface="+mn-ea"/>
          <a:cs typeface="+mn-cs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/>
            </a:solidFill>
            <a:ln w="12700"/>
          </c:spPr>
          <c:dPt>
            <c:idx val="0"/>
            <c:bubble3D val="0"/>
            <c:spPr>
              <a:solidFill>
                <a:srgbClr val="7C67DC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12-4C01-9C1A-AD3BD335F3F2}"/>
              </c:ext>
            </c:extLst>
          </c:dPt>
          <c:dPt>
            <c:idx val="1"/>
            <c:bubble3D val="0"/>
            <c:spPr>
              <a:solidFill>
                <a:srgbClr val="C642CD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12-4C01-9C1A-AD3BD335F3F2}"/>
              </c:ext>
            </c:extLst>
          </c:dPt>
          <c:dPt>
            <c:idx val="2"/>
            <c:bubble3D val="0"/>
            <c:spPr>
              <a:solidFill>
                <a:srgbClr val="174F4E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12-4C01-9C1A-AD3BD335F3F2}"/>
              </c:ext>
            </c:extLst>
          </c:dPt>
          <c:dPt>
            <c:idx val="3"/>
            <c:bubble3D val="0"/>
            <c:spPr>
              <a:solidFill>
                <a:srgbClr val="267E7C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12-4C01-9C1A-AD3BD335F3F2}"/>
              </c:ext>
            </c:extLst>
          </c:dPt>
          <c:dPt>
            <c:idx val="4"/>
            <c:bubble3D val="0"/>
            <c:spPr>
              <a:solidFill>
                <a:srgbClr val="81D9D7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12-4C01-9C1A-AD3BD335F3F2}"/>
              </c:ext>
            </c:extLst>
          </c:dPt>
          <c:dPt>
            <c:idx val="5"/>
            <c:bubble3D val="0"/>
            <c:spPr>
              <a:solidFill>
                <a:srgbClr val="FEA4F3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212-4C01-9C1A-AD3BD335F3F2}"/>
              </c:ext>
            </c:extLst>
          </c:dPt>
          <c:dPt>
            <c:idx val="6"/>
            <c:bubble3D val="0"/>
            <c:spPr>
              <a:solidFill>
                <a:srgbClr val="C2B7EF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212-4C01-9C1A-AD3BD335F3F2}"/>
              </c:ext>
            </c:extLst>
          </c:dPt>
          <c:dLbls>
            <c:dLbl>
              <c:idx val="0"/>
              <c:layout>
                <c:manualLayout>
                  <c:x val="7.2815589645737824E-2"/>
                  <c:y val="-9.73450649118075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12-4C01-9C1A-AD3BD335F3F2}"/>
                </c:ext>
              </c:extLst>
            </c:dLbl>
            <c:dLbl>
              <c:idx val="1"/>
              <c:layout>
                <c:manualLayout>
                  <c:x val="0.1262136887192789"/>
                  <c:y val="7.96459622005698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12-4C01-9C1A-AD3BD335F3F2}"/>
                </c:ext>
              </c:extLst>
            </c:dLbl>
            <c:dLbl>
              <c:idx val="2"/>
              <c:layout>
                <c:manualLayout>
                  <c:x val="3.8834981144393418E-2"/>
                  <c:y val="8.849551355618864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12-4C01-9C1A-AD3BD335F3F2}"/>
                </c:ext>
              </c:extLst>
            </c:dLbl>
            <c:dLbl>
              <c:idx val="3"/>
              <c:layout>
                <c:manualLayout>
                  <c:x val="-8.7378707574885389E-2"/>
                  <c:y val="0.106194616267426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212-4C01-9C1A-AD3BD335F3F2}"/>
                </c:ext>
              </c:extLst>
            </c:dLbl>
            <c:dLbl>
              <c:idx val="4"/>
              <c:layout>
                <c:manualLayout>
                  <c:x val="-0.10679619814708213"/>
                  <c:y val="4.86725324559037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212-4C01-9C1A-AD3BD335F3F2}"/>
                </c:ext>
              </c:extLst>
            </c:dLbl>
            <c:dLbl>
              <c:idx val="5"/>
              <c:layout>
                <c:manualLayout>
                  <c:x val="-0.10679619814708213"/>
                  <c:y val="-9.29202892339981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212-4C01-9C1A-AD3BD335F3F2}"/>
                </c:ext>
              </c:extLst>
            </c:dLbl>
            <c:dLbl>
              <c:idx val="6"/>
              <c:layout>
                <c:manualLayout>
                  <c:x val="-3.3980608501344316E-2"/>
                  <c:y val="-8.40707378783792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212-4C01-9C1A-AD3BD335F3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0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Sheet1!$H$22:$H$28</c:f>
              <c:strCache>
                <c:ptCount val="7"/>
                <c:pt idx="0">
                  <c:v>Japan</c:v>
                </c:pt>
                <c:pt idx="1">
                  <c:v>India</c:v>
                </c:pt>
                <c:pt idx="2">
                  <c:v>USA</c:v>
                </c:pt>
                <c:pt idx="3">
                  <c:v>Canada</c:v>
                </c:pt>
                <c:pt idx="4">
                  <c:v>Australia</c:v>
                </c:pt>
                <c:pt idx="5">
                  <c:v>Europe</c:v>
                </c:pt>
                <c:pt idx="6">
                  <c:v>Mexico</c:v>
                </c:pt>
              </c:strCache>
            </c:strRef>
          </c:cat>
          <c:val>
            <c:numRef>
              <c:f>Sheet1!$I$22:$I$28</c:f>
              <c:numCache>
                <c:formatCode>General</c:formatCode>
                <c:ptCount val="7"/>
                <c:pt idx="0">
                  <c:v>34000</c:v>
                </c:pt>
                <c:pt idx="1">
                  <c:v>33000</c:v>
                </c:pt>
                <c:pt idx="2">
                  <c:v>25690</c:v>
                </c:pt>
                <c:pt idx="3">
                  <c:v>13750</c:v>
                </c:pt>
                <c:pt idx="4">
                  <c:v>19560</c:v>
                </c:pt>
                <c:pt idx="5">
                  <c:v>17540</c:v>
                </c:pt>
                <c:pt idx="6">
                  <c:v>22340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212-4C01-9C1A-AD3BD335F3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Visits</c:v>
                </c:pt>
              </c:strCache>
            </c:strRef>
          </c:tx>
          <c:spPr>
            <a:ln w="44450" cap="rnd">
              <a:solidFill>
                <a:srgbClr val="CAE7F5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Sheet1!$C$6:$C$17</c:f>
              <c:numCache>
                <c:formatCode>General</c:formatCode>
                <c:ptCount val="12"/>
                <c:pt idx="0">
                  <c:v>5500</c:v>
                </c:pt>
                <c:pt idx="1">
                  <c:v>5400</c:v>
                </c:pt>
                <c:pt idx="2">
                  <c:v>5600</c:v>
                </c:pt>
                <c:pt idx="3">
                  <c:v>5700</c:v>
                </c:pt>
                <c:pt idx="4">
                  <c:v>5300</c:v>
                </c:pt>
                <c:pt idx="5">
                  <c:v>5400</c:v>
                </c:pt>
                <c:pt idx="6">
                  <c:v>5500</c:v>
                </c:pt>
                <c:pt idx="7">
                  <c:v>5100</c:v>
                </c:pt>
                <c:pt idx="8">
                  <c:v>5200</c:v>
                </c:pt>
                <c:pt idx="9">
                  <c:v>5800</c:v>
                </c:pt>
                <c:pt idx="10">
                  <c:v>5600</c:v>
                </c:pt>
                <c:pt idx="11">
                  <c:v>5700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FD-4089-9460-7C6E27CB7E85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Page Views</c:v>
                </c:pt>
              </c:strCache>
            </c:strRef>
          </c:tx>
          <c:spPr>
            <a:ln w="44450" cap="rnd">
              <a:solidFill>
                <a:srgbClr val="206B68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General</c:formatCode>
                <c:ptCount val="12"/>
                <c:pt idx="0">
                  <c:v>8390</c:v>
                </c:pt>
                <c:pt idx="1">
                  <c:v>8290</c:v>
                </c:pt>
                <c:pt idx="2">
                  <c:v>8490</c:v>
                </c:pt>
                <c:pt idx="3">
                  <c:v>8590</c:v>
                </c:pt>
                <c:pt idx="4">
                  <c:v>8190</c:v>
                </c:pt>
                <c:pt idx="5">
                  <c:v>8290</c:v>
                </c:pt>
                <c:pt idx="6">
                  <c:v>8390</c:v>
                </c:pt>
                <c:pt idx="7">
                  <c:v>7990</c:v>
                </c:pt>
                <c:pt idx="8">
                  <c:v>8090</c:v>
                </c:pt>
                <c:pt idx="9">
                  <c:v>8690</c:v>
                </c:pt>
                <c:pt idx="10">
                  <c:v>8490</c:v>
                </c:pt>
                <c:pt idx="11">
                  <c:v>8590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1FD-4089-9460-7C6E27CB7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036720"/>
        <c:axId val="1209042544"/>
      </c:lineChart>
      <c:catAx>
        <c:axId val="120903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209042544"/>
        <c:crosses val="autoZero"/>
        <c:auto val="1"/>
        <c:lblAlgn val="ctr"/>
        <c:lblOffset val="100"/>
        <c:tickLblSkip val="1"/>
        <c:noMultiLvlLbl val="0"/>
      </c:catAx>
      <c:valAx>
        <c:axId val="1209042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0903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Montserrat" panose="00000500000000000000" pitchFamily="2" charset="-52"/>
        </a:defRPr>
      </a:pPr>
      <a:endParaRPr lang="uk-UA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Bounce Rate</c:v>
                </c:pt>
              </c:strCache>
            </c:strRef>
          </c:tx>
          <c:spPr>
            <a:ln w="44450" cap="rnd">
              <a:solidFill>
                <a:srgbClr val="6B76AD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Sheet1!$E$6:$E$17</c:f>
              <c:numCache>
                <c:formatCode>0%</c:formatCode>
                <c:ptCount val="12"/>
                <c:pt idx="0">
                  <c:v>0.5</c:v>
                </c:pt>
                <c:pt idx="1">
                  <c:v>0.45</c:v>
                </c:pt>
                <c:pt idx="2">
                  <c:v>0.43</c:v>
                </c:pt>
                <c:pt idx="3">
                  <c:v>0.45</c:v>
                </c:pt>
                <c:pt idx="4">
                  <c:v>0.46</c:v>
                </c:pt>
                <c:pt idx="5">
                  <c:v>0.5</c:v>
                </c:pt>
                <c:pt idx="6">
                  <c:v>0.45</c:v>
                </c:pt>
                <c:pt idx="7">
                  <c:v>0.53</c:v>
                </c:pt>
                <c:pt idx="8">
                  <c:v>0.45</c:v>
                </c:pt>
                <c:pt idx="9">
                  <c:v>0.39</c:v>
                </c:pt>
                <c:pt idx="10">
                  <c:v>0.48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5B-4FF8-9174-F3A8D7DA319F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Exit Rate</c:v>
                </c:pt>
              </c:strCache>
            </c:strRef>
          </c:tx>
          <c:spPr>
            <a:ln w="44450" cap="rnd">
              <a:solidFill>
                <a:srgbClr val="C642CD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Sheet1!$F$6:$F$17</c:f>
              <c:numCache>
                <c:formatCode>0%</c:formatCode>
                <c:ptCount val="12"/>
                <c:pt idx="0">
                  <c:v>0.39</c:v>
                </c:pt>
                <c:pt idx="1">
                  <c:v>0.48</c:v>
                </c:pt>
                <c:pt idx="2">
                  <c:v>0.46</c:v>
                </c:pt>
                <c:pt idx="3">
                  <c:v>0.45</c:v>
                </c:pt>
                <c:pt idx="4">
                  <c:v>0.53</c:v>
                </c:pt>
                <c:pt idx="5">
                  <c:v>0.45</c:v>
                </c:pt>
                <c:pt idx="6">
                  <c:v>0.43</c:v>
                </c:pt>
                <c:pt idx="7">
                  <c:v>0.45</c:v>
                </c:pt>
                <c:pt idx="8">
                  <c:v>0.46</c:v>
                </c:pt>
                <c:pt idx="9">
                  <c:v>0.5</c:v>
                </c:pt>
                <c:pt idx="10">
                  <c:v>0.45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5B-4FF8-9174-F3A8D7DA3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575200"/>
        <c:axId val="1626205632"/>
      </c:lineChart>
      <c:catAx>
        <c:axId val="13705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626205632"/>
        <c:crosses val="autoZero"/>
        <c:auto val="1"/>
        <c:lblAlgn val="ctr"/>
        <c:lblOffset val="100"/>
        <c:noMultiLvlLbl val="0"/>
      </c:catAx>
      <c:valAx>
        <c:axId val="16262056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7057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98037841893647E-2"/>
          <c:y val="0.10714285714285714"/>
          <c:w val="0.89320392431621276"/>
          <c:h val="0.627112485939257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Organic Traffic</c:v>
                </c:pt>
              </c:strCache>
            </c:strRef>
          </c:tx>
          <c:spPr>
            <a:solidFill>
              <a:srgbClr val="A3AACC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Sheet1!$G$6:$G$17</c:f>
              <c:numCache>
                <c:formatCode>General</c:formatCode>
                <c:ptCount val="12"/>
                <c:pt idx="0">
                  <c:v>2400</c:v>
                </c:pt>
                <c:pt idx="1">
                  <c:v>2600</c:v>
                </c:pt>
                <c:pt idx="2">
                  <c:v>2700</c:v>
                </c:pt>
                <c:pt idx="3">
                  <c:v>3200</c:v>
                </c:pt>
                <c:pt idx="4">
                  <c:v>2100</c:v>
                </c:pt>
                <c:pt idx="5">
                  <c:v>2400</c:v>
                </c:pt>
                <c:pt idx="6">
                  <c:v>2600</c:v>
                </c:pt>
                <c:pt idx="7">
                  <c:v>2700</c:v>
                </c:pt>
                <c:pt idx="8">
                  <c:v>2600</c:v>
                </c:pt>
                <c:pt idx="9">
                  <c:v>2300</c:v>
                </c:pt>
                <c:pt idx="10">
                  <c:v>2800</c:v>
                </c:pt>
                <c:pt idx="11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1-45F5-832A-3EE4BD10A463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Paid Traffic</c:v>
                </c:pt>
              </c:strCache>
            </c:strRef>
          </c:tx>
          <c:spPr>
            <a:solidFill>
              <a:srgbClr val="9B2BA1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Sheet1!$H$6:$H$17</c:f>
              <c:numCache>
                <c:formatCode>General</c:formatCode>
                <c:ptCount val="12"/>
                <c:pt idx="0">
                  <c:v>450</c:v>
                </c:pt>
                <c:pt idx="1">
                  <c:v>650</c:v>
                </c:pt>
                <c:pt idx="2">
                  <c:v>750</c:v>
                </c:pt>
                <c:pt idx="3">
                  <c:v>650</c:v>
                </c:pt>
                <c:pt idx="4">
                  <c:v>480</c:v>
                </c:pt>
                <c:pt idx="5">
                  <c:v>560</c:v>
                </c:pt>
                <c:pt idx="6">
                  <c:v>790</c:v>
                </c:pt>
                <c:pt idx="7">
                  <c:v>670</c:v>
                </c:pt>
                <c:pt idx="8">
                  <c:v>560</c:v>
                </c:pt>
                <c:pt idx="9">
                  <c:v>730</c:v>
                </c:pt>
                <c:pt idx="10">
                  <c:v>640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11-45F5-832A-3EE4BD10A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6201472"/>
        <c:axId val="1626206048"/>
      </c:barChart>
      <c:catAx>
        <c:axId val="162620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626206048"/>
        <c:crosses val="autoZero"/>
        <c:auto val="1"/>
        <c:lblAlgn val="ctr"/>
        <c:lblOffset val="100"/>
        <c:noMultiLvlLbl val="0"/>
      </c:catAx>
      <c:valAx>
        <c:axId val="16262060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620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76659022419254"/>
          <c:y val="9.5758107249080113E-2"/>
          <c:w val="0.81381959111408519"/>
          <c:h val="0.660623059897827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3A4269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Sheet1!$I$6:$I$17</c:f>
              <c:numCache>
                <c:formatCode>General</c:formatCode>
                <c:ptCount val="12"/>
                <c:pt idx="0">
                  <c:v>790</c:v>
                </c:pt>
                <c:pt idx="1">
                  <c:v>670</c:v>
                </c:pt>
                <c:pt idx="2">
                  <c:v>560</c:v>
                </c:pt>
                <c:pt idx="3">
                  <c:v>730</c:v>
                </c:pt>
                <c:pt idx="4">
                  <c:v>750</c:v>
                </c:pt>
                <c:pt idx="5">
                  <c:v>650</c:v>
                </c:pt>
                <c:pt idx="6">
                  <c:v>730</c:v>
                </c:pt>
                <c:pt idx="7">
                  <c:v>640</c:v>
                </c:pt>
                <c:pt idx="8">
                  <c:v>350</c:v>
                </c:pt>
                <c:pt idx="9">
                  <c:v>750</c:v>
                </c:pt>
                <c:pt idx="10">
                  <c:v>650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7-43F0-A01D-DE9F344F52B6}"/>
            </c:ext>
          </c:extLst>
        </c:ser>
        <c:ser>
          <c:idx val="1"/>
          <c:order val="1"/>
          <c:tx>
            <c:strRef>
              <c:f>Sheet1!$J$5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rgbClr val="8C2791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Sheet1!$J$6:$J$17</c:f>
              <c:numCache>
                <c:formatCode>General</c:formatCode>
                <c:ptCount val="12"/>
                <c:pt idx="0">
                  <c:v>180</c:v>
                </c:pt>
                <c:pt idx="1">
                  <c:v>210</c:v>
                </c:pt>
                <c:pt idx="2">
                  <c:v>230</c:v>
                </c:pt>
                <c:pt idx="3">
                  <c:v>240</c:v>
                </c:pt>
                <c:pt idx="4">
                  <c:v>190</c:v>
                </c:pt>
                <c:pt idx="5">
                  <c:v>170</c:v>
                </c:pt>
                <c:pt idx="6">
                  <c:v>160</c:v>
                </c:pt>
                <c:pt idx="7">
                  <c:v>180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87-43F0-A01D-DE9F344F52B6}"/>
            </c:ext>
          </c:extLst>
        </c:ser>
        <c:ser>
          <c:idx val="2"/>
          <c:order val="2"/>
          <c:tx>
            <c:strRef>
              <c:f>Sheet1!$K$5</c:f>
              <c:strCache>
                <c:ptCount val="1"/>
                <c:pt idx="0">
                  <c:v>Referral</c:v>
                </c:pt>
              </c:strCache>
            </c:strRef>
          </c:tx>
          <c:spPr>
            <a:solidFill>
              <a:srgbClr val="BDC2DB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Sheet1!$K$6:$K$17</c:f>
              <c:numCache>
                <c:formatCode>General</c:formatCode>
                <c:ptCount val="12"/>
                <c:pt idx="0">
                  <c:v>1680</c:v>
                </c:pt>
                <c:pt idx="1">
                  <c:v>1270</c:v>
                </c:pt>
                <c:pt idx="2">
                  <c:v>1360</c:v>
                </c:pt>
                <c:pt idx="3">
                  <c:v>880</c:v>
                </c:pt>
                <c:pt idx="4">
                  <c:v>1780</c:v>
                </c:pt>
                <c:pt idx="5">
                  <c:v>1620</c:v>
                </c:pt>
                <c:pt idx="6">
                  <c:v>1220</c:v>
                </c:pt>
                <c:pt idx="7">
                  <c:v>910</c:v>
                </c:pt>
                <c:pt idx="8">
                  <c:v>1500</c:v>
                </c:pt>
                <c:pt idx="9">
                  <c:v>1790</c:v>
                </c:pt>
                <c:pt idx="10">
                  <c:v>1240</c:v>
                </c:pt>
                <c:pt idx="11">
                  <c:v>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87-43F0-A01D-DE9F344F5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1541104"/>
        <c:axId val="1721544432"/>
      </c:barChart>
      <c:catAx>
        <c:axId val="172154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721544432"/>
        <c:crosses val="autoZero"/>
        <c:auto val="1"/>
        <c:lblAlgn val="ctr"/>
        <c:lblOffset val="100"/>
        <c:noMultiLvlLbl val="0"/>
      </c:catAx>
      <c:valAx>
        <c:axId val="17215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72154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85330402651244"/>
          <c:y val="0.8641365878329782"/>
          <c:w val="0.54629300470039899"/>
          <c:h val="0.106399379167304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 algn="ctr">
        <a:defRPr lang="en-US" sz="7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Montserrat" panose="00000500000000000000" pitchFamily="2" charset="-52"/>
          <a:ea typeface="+mn-ea"/>
          <a:cs typeface="+mn-cs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/>
            </a:solidFill>
            <a:ln w="12700"/>
          </c:spPr>
          <c:dPt>
            <c:idx val="0"/>
            <c:bubble3D val="0"/>
            <c:spPr>
              <a:solidFill>
                <a:srgbClr val="7C67DC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FE-4508-BBC1-C7362E746736}"/>
              </c:ext>
            </c:extLst>
          </c:dPt>
          <c:dPt>
            <c:idx val="1"/>
            <c:bubble3D val="0"/>
            <c:spPr>
              <a:solidFill>
                <a:srgbClr val="C642CD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FE-4508-BBC1-C7362E746736}"/>
              </c:ext>
            </c:extLst>
          </c:dPt>
          <c:dPt>
            <c:idx val="2"/>
            <c:bubble3D val="0"/>
            <c:spPr>
              <a:solidFill>
                <a:srgbClr val="174F4E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FE-4508-BBC1-C7362E746736}"/>
              </c:ext>
            </c:extLst>
          </c:dPt>
          <c:dPt>
            <c:idx val="3"/>
            <c:bubble3D val="0"/>
            <c:spPr>
              <a:solidFill>
                <a:srgbClr val="267E7C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FE-4508-BBC1-C7362E746736}"/>
              </c:ext>
            </c:extLst>
          </c:dPt>
          <c:dPt>
            <c:idx val="4"/>
            <c:bubble3D val="0"/>
            <c:spPr>
              <a:solidFill>
                <a:srgbClr val="81D9D7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FE-4508-BBC1-C7362E746736}"/>
              </c:ext>
            </c:extLst>
          </c:dPt>
          <c:dPt>
            <c:idx val="5"/>
            <c:bubble3D val="0"/>
            <c:spPr>
              <a:solidFill>
                <a:srgbClr val="FEA4F3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FFE-4508-BBC1-C7362E746736}"/>
              </c:ext>
            </c:extLst>
          </c:dPt>
          <c:dPt>
            <c:idx val="6"/>
            <c:bubble3D val="0"/>
            <c:spPr>
              <a:solidFill>
                <a:srgbClr val="C2B7EF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FFE-4508-BBC1-C7362E746736}"/>
              </c:ext>
            </c:extLst>
          </c:dPt>
          <c:dLbls>
            <c:dLbl>
              <c:idx val="0"/>
              <c:layout>
                <c:manualLayout>
                  <c:x val="7.2815589645737824E-2"/>
                  <c:y val="-9.73450649118075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FE-4508-BBC1-C7362E746736}"/>
                </c:ext>
              </c:extLst>
            </c:dLbl>
            <c:dLbl>
              <c:idx val="1"/>
              <c:layout>
                <c:manualLayout>
                  <c:x val="0.1262136887192789"/>
                  <c:y val="7.96459622005698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FE-4508-BBC1-C7362E746736}"/>
                </c:ext>
              </c:extLst>
            </c:dLbl>
            <c:dLbl>
              <c:idx val="2"/>
              <c:layout>
                <c:manualLayout>
                  <c:x val="3.8834981144393418E-2"/>
                  <c:y val="8.849551355618864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FE-4508-BBC1-C7362E746736}"/>
                </c:ext>
              </c:extLst>
            </c:dLbl>
            <c:dLbl>
              <c:idx val="3"/>
              <c:layout>
                <c:manualLayout>
                  <c:x val="-8.7378707574885389E-2"/>
                  <c:y val="0.106194616267426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FE-4508-BBC1-C7362E746736}"/>
                </c:ext>
              </c:extLst>
            </c:dLbl>
            <c:dLbl>
              <c:idx val="4"/>
              <c:layout>
                <c:manualLayout>
                  <c:x val="-0.10679619814708213"/>
                  <c:y val="4.86725324559037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FE-4508-BBC1-C7362E746736}"/>
                </c:ext>
              </c:extLst>
            </c:dLbl>
            <c:dLbl>
              <c:idx val="5"/>
              <c:layout>
                <c:manualLayout>
                  <c:x val="-0.10679619814708213"/>
                  <c:y val="-9.29202892339981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FE-4508-BBC1-C7362E746736}"/>
                </c:ext>
              </c:extLst>
            </c:dLbl>
            <c:dLbl>
              <c:idx val="6"/>
              <c:layout>
                <c:manualLayout>
                  <c:x val="-3.3980608501344316E-2"/>
                  <c:y val="-8.40707378783792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FFE-4508-BBC1-C7362E7467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0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Sheet1!$H$22:$H$28</c:f>
              <c:strCache>
                <c:ptCount val="7"/>
                <c:pt idx="0">
                  <c:v>Japan</c:v>
                </c:pt>
                <c:pt idx="1">
                  <c:v>India</c:v>
                </c:pt>
                <c:pt idx="2">
                  <c:v>USA</c:v>
                </c:pt>
                <c:pt idx="3">
                  <c:v>Canada</c:v>
                </c:pt>
                <c:pt idx="4">
                  <c:v>Australia</c:v>
                </c:pt>
                <c:pt idx="5">
                  <c:v>Europe</c:v>
                </c:pt>
                <c:pt idx="6">
                  <c:v>Mexico</c:v>
                </c:pt>
              </c:strCache>
            </c:strRef>
          </c:cat>
          <c:val>
            <c:numRef>
              <c:f>Sheet1!$I$22:$I$28</c:f>
              <c:numCache>
                <c:formatCode>General</c:formatCode>
                <c:ptCount val="7"/>
                <c:pt idx="0">
                  <c:v>34000</c:v>
                </c:pt>
                <c:pt idx="1">
                  <c:v>33000</c:v>
                </c:pt>
                <c:pt idx="2">
                  <c:v>25690</c:v>
                </c:pt>
                <c:pt idx="3">
                  <c:v>13750</c:v>
                </c:pt>
                <c:pt idx="4">
                  <c:v>19560</c:v>
                </c:pt>
                <c:pt idx="5">
                  <c:v>17540</c:v>
                </c:pt>
                <c:pt idx="6">
                  <c:v>22340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FFE-4508-BBC1-C7362E7467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Visits</c:v>
                </c:pt>
              </c:strCache>
            </c:strRef>
          </c:tx>
          <c:spPr>
            <a:ln w="44450" cap="rnd">
              <a:solidFill>
                <a:srgbClr val="CAE7F5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Sheet1!$C$6:$C$17</c:f>
              <c:numCache>
                <c:formatCode>General</c:formatCode>
                <c:ptCount val="12"/>
                <c:pt idx="0">
                  <c:v>5500</c:v>
                </c:pt>
                <c:pt idx="1">
                  <c:v>5400</c:v>
                </c:pt>
                <c:pt idx="2">
                  <c:v>5600</c:v>
                </c:pt>
                <c:pt idx="3">
                  <c:v>5700</c:v>
                </c:pt>
                <c:pt idx="4">
                  <c:v>5300</c:v>
                </c:pt>
                <c:pt idx="5">
                  <c:v>5400</c:v>
                </c:pt>
                <c:pt idx="6">
                  <c:v>5500</c:v>
                </c:pt>
                <c:pt idx="7">
                  <c:v>5100</c:v>
                </c:pt>
                <c:pt idx="8">
                  <c:v>5200</c:v>
                </c:pt>
                <c:pt idx="9">
                  <c:v>5800</c:v>
                </c:pt>
                <c:pt idx="10">
                  <c:v>5600</c:v>
                </c:pt>
                <c:pt idx="11">
                  <c:v>5700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7A-4122-9905-C10A231F54B6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Page Views</c:v>
                </c:pt>
              </c:strCache>
            </c:strRef>
          </c:tx>
          <c:spPr>
            <a:ln w="44450" cap="rnd">
              <a:solidFill>
                <a:srgbClr val="206B68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General</c:formatCode>
                <c:ptCount val="12"/>
                <c:pt idx="0">
                  <c:v>8390</c:v>
                </c:pt>
                <c:pt idx="1">
                  <c:v>8290</c:v>
                </c:pt>
                <c:pt idx="2">
                  <c:v>8490</c:v>
                </c:pt>
                <c:pt idx="3">
                  <c:v>8590</c:v>
                </c:pt>
                <c:pt idx="4">
                  <c:v>8190</c:v>
                </c:pt>
                <c:pt idx="5">
                  <c:v>8290</c:v>
                </c:pt>
                <c:pt idx="6">
                  <c:v>8390</c:v>
                </c:pt>
                <c:pt idx="7">
                  <c:v>7990</c:v>
                </c:pt>
                <c:pt idx="8">
                  <c:v>8090</c:v>
                </c:pt>
                <c:pt idx="9">
                  <c:v>8690</c:v>
                </c:pt>
                <c:pt idx="10">
                  <c:v>8490</c:v>
                </c:pt>
                <c:pt idx="11">
                  <c:v>8590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7A-4122-9905-C10A231F5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036720"/>
        <c:axId val="1209042544"/>
      </c:lineChart>
      <c:catAx>
        <c:axId val="120903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209042544"/>
        <c:crosses val="autoZero"/>
        <c:auto val="1"/>
        <c:lblAlgn val="ctr"/>
        <c:lblOffset val="100"/>
        <c:tickLblSkip val="1"/>
        <c:noMultiLvlLbl val="0"/>
      </c:catAx>
      <c:valAx>
        <c:axId val="1209042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0903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Montserrat" panose="00000500000000000000" pitchFamily="2" charset="-52"/>
        </a:defRPr>
      </a:pPr>
      <a:endParaRPr lang="uk-UA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Bounce Rate</c:v>
                </c:pt>
              </c:strCache>
            </c:strRef>
          </c:tx>
          <c:spPr>
            <a:ln w="44450" cap="rnd">
              <a:solidFill>
                <a:srgbClr val="6B76AD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Sheet1!$E$6:$E$17</c:f>
              <c:numCache>
                <c:formatCode>0%</c:formatCode>
                <c:ptCount val="12"/>
                <c:pt idx="0">
                  <c:v>0.5</c:v>
                </c:pt>
                <c:pt idx="1">
                  <c:v>0.45</c:v>
                </c:pt>
                <c:pt idx="2">
                  <c:v>0.43</c:v>
                </c:pt>
                <c:pt idx="3">
                  <c:v>0.45</c:v>
                </c:pt>
                <c:pt idx="4">
                  <c:v>0.46</c:v>
                </c:pt>
                <c:pt idx="5">
                  <c:v>0.5</c:v>
                </c:pt>
                <c:pt idx="6">
                  <c:v>0.45</c:v>
                </c:pt>
                <c:pt idx="7">
                  <c:v>0.53</c:v>
                </c:pt>
                <c:pt idx="8">
                  <c:v>0.45</c:v>
                </c:pt>
                <c:pt idx="9">
                  <c:v>0.39</c:v>
                </c:pt>
                <c:pt idx="10">
                  <c:v>0.48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AB-44E4-B244-995F7E9CA2C7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Exit Rate</c:v>
                </c:pt>
              </c:strCache>
            </c:strRef>
          </c:tx>
          <c:spPr>
            <a:ln w="44450" cap="rnd">
              <a:solidFill>
                <a:srgbClr val="C642CD"/>
              </a:soli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Sheet1!$F$6:$F$17</c:f>
              <c:numCache>
                <c:formatCode>0%</c:formatCode>
                <c:ptCount val="12"/>
                <c:pt idx="0">
                  <c:v>0.39</c:v>
                </c:pt>
                <c:pt idx="1">
                  <c:v>0.48</c:v>
                </c:pt>
                <c:pt idx="2">
                  <c:v>0.46</c:v>
                </c:pt>
                <c:pt idx="3">
                  <c:v>0.45</c:v>
                </c:pt>
                <c:pt idx="4">
                  <c:v>0.53</c:v>
                </c:pt>
                <c:pt idx="5">
                  <c:v>0.45</c:v>
                </c:pt>
                <c:pt idx="6">
                  <c:v>0.43</c:v>
                </c:pt>
                <c:pt idx="7">
                  <c:v>0.45</c:v>
                </c:pt>
                <c:pt idx="8">
                  <c:v>0.46</c:v>
                </c:pt>
                <c:pt idx="9">
                  <c:v>0.5</c:v>
                </c:pt>
                <c:pt idx="10">
                  <c:v>0.45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AB-44E4-B244-995F7E9CA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0575200"/>
        <c:axId val="1626205632"/>
      </c:lineChart>
      <c:catAx>
        <c:axId val="13705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626205632"/>
        <c:crosses val="autoZero"/>
        <c:auto val="1"/>
        <c:lblAlgn val="ctr"/>
        <c:lblOffset val="100"/>
        <c:noMultiLvlLbl val="0"/>
      </c:catAx>
      <c:valAx>
        <c:axId val="16262056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7057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98037841893647E-2"/>
          <c:y val="0.10714285714285714"/>
          <c:w val="0.89320392431621276"/>
          <c:h val="0.627112485939257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Organic Traffic</c:v>
                </c:pt>
              </c:strCache>
            </c:strRef>
          </c:tx>
          <c:spPr>
            <a:solidFill>
              <a:srgbClr val="A3AACC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Sheet1!$G$6:$G$17</c:f>
              <c:numCache>
                <c:formatCode>General</c:formatCode>
                <c:ptCount val="12"/>
                <c:pt idx="0">
                  <c:v>2400</c:v>
                </c:pt>
                <c:pt idx="1">
                  <c:v>2600</c:v>
                </c:pt>
                <c:pt idx="2">
                  <c:v>2700</c:v>
                </c:pt>
                <c:pt idx="3">
                  <c:v>3200</c:v>
                </c:pt>
                <c:pt idx="4">
                  <c:v>2100</c:v>
                </c:pt>
                <c:pt idx="5">
                  <c:v>2400</c:v>
                </c:pt>
                <c:pt idx="6">
                  <c:v>2600</c:v>
                </c:pt>
                <c:pt idx="7">
                  <c:v>2700</c:v>
                </c:pt>
                <c:pt idx="8">
                  <c:v>2600</c:v>
                </c:pt>
                <c:pt idx="9">
                  <c:v>2300</c:v>
                </c:pt>
                <c:pt idx="10">
                  <c:v>2800</c:v>
                </c:pt>
                <c:pt idx="11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F-430E-86E6-139D13DA76B8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Paid Traffic</c:v>
                </c:pt>
              </c:strCache>
            </c:strRef>
          </c:tx>
          <c:spPr>
            <a:solidFill>
              <a:srgbClr val="9B2BA1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Sheet1!$H$6:$H$17</c:f>
              <c:numCache>
                <c:formatCode>General</c:formatCode>
                <c:ptCount val="12"/>
                <c:pt idx="0">
                  <c:v>450</c:v>
                </c:pt>
                <c:pt idx="1">
                  <c:v>650</c:v>
                </c:pt>
                <c:pt idx="2">
                  <c:v>750</c:v>
                </c:pt>
                <c:pt idx="3">
                  <c:v>650</c:v>
                </c:pt>
                <c:pt idx="4">
                  <c:v>480</c:v>
                </c:pt>
                <c:pt idx="5">
                  <c:v>560</c:v>
                </c:pt>
                <c:pt idx="6">
                  <c:v>790</c:v>
                </c:pt>
                <c:pt idx="7">
                  <c:v>670</c:v>
                </c:pt>
                <c:pt idx="8">
                  <c:v>560</c:v>
                </c:pt>
                <c:pt idx="9">
                  <c:v>730</c:v>
                </c:pt>
                <c:pt idx="10">
                  <c:v>640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F-430E-86E6-139D13DA7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6201472"/>
        <c:axId val="1626206048"/>
      </c:barChart>
      <c:catAx>
        <c:axId val="162620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626206048"/>
        <c:crosses val="autoZero"/>
        <c:auto val="1"/>
        <c:lblAlgn val="ctr"/>
        <c:lblOffset val="100"/>
        <c:noMultiLvlLbl val="0"/>
      </c:catAx>
      <c:valAx>
        <c:axId val="16262060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620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76659022419254"/>
          <c:y val="9.5758107249080113E-2"/>
          <c:w val="0.81381959111408519"/>
          <c:h val="0.660623059897827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3A4269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Sheet1!$I$6:$I$17</c:f>
              <c:numCache>
                <c:formatCode>General</c:formatCode>
                <c:ptCount val="12"/>
                <c:pt idx="0">
                  <c:v>790</c:v>
                </c:pt>
                <c:pt idx="1">
                  <c:v>670</c:v>
                </c:pt>
                <c:pt idx="2">
                  <c:v>560</c:v>
                </c:pt>
                <c:pt idx="3">
                  <c:v>730</c:v>
                </c:pt>
                <c:pt idx="4">
                  <c:v>750</c:v>
                </c:pt>
                <c:pt idx="5">
                  <c:v>650</c:v>
                </c:pt>
                <c:pt idx="6">
                  <c:v>730</c:v>
                </c:pt>
                <c:pt idx="7">
                  <c:v>640</c:v>
                </c:pt>
                <c:pt idx="8">
                  <c:v>350</c:v>
                </c:pt>
                <c:pt idx="9">
                  <c:v>750</c:v>
                </c:pt>
                <c:pt idx="10">
                  <c:v>650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4-4F5F-8462-3C30D38CCE87}"/>
            </c:ext>
          </c:extLst>
        </c:ser>
        <c:ser>
          <c:idx val="1"/>
          <c:order val="1"/>
          <c:tx>
            <c:strRef>
              <c:f>Sheet1!$J$5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rgbClr val="8C2791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Sheet1!$J$6:$J$17</c:f>
              <c:numCache>
                <c:formatCode>General</c:formatCode>
                <c:ptCount val="12"/>
                <c:pt idx="0">
                  <c:v>180</c:v>
                </c:pt>
                <c:pt idx="1">
                  <c:v>210</c:v>
                </c:pt>
                <c:pt idx="2">
                  <c:v>230</c:v>
                </c:pt>
                <c:pt idx="3">
                  <c:v>240</c:v>
                </c:pt>
                <c:pt idx="4">
                  <c:v>190</c:v>
                </c:pt>
                <c:pt idx="5">
                  <c:v>170</c:v>
                </c:pt>
                <c:pt idx="6">
                  <c:v>160</c:v>
                </c:pt>
                <c:pt idx="7">
                  <c:v>180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B4-4F5F-8462-3C30D38CCE87}"/>
            </c:ext>
          </c:extLst>
        </c:ser>
        <c:ser>
          <c:idx val="2"/>
          <c:order val="2"/>
          <c:tx>
            <c:strRef>
              <c:f>Sheet1!$K$5</c:f>
              <c:strCache>
                <c:ptCount val="1"/>
                <c:pt idx="0">
                  <c:v>Referral</c:v>
                </c:pt>
              </c:strCache>
            </c:strRef>
          </c:tx>
          <c:spPr>
            <a:solidFill>
              <a:srgbClr val="BDC2DB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Sheet1!$K$6:$K$17</c:f>
              <c:numCache>
                <c:formatCode>General</c:formatCode>
                <c:ptCount val="12"/>
                <c:pt idx="0">
                  <c:v>1680</c:v>
                </c:pt>
                <c:pt idx="1">
                  <c:v>1270</c:v>
                </c:pt>
                <c:pt idx="2">
                  <c:v>1360</c:v>
                </c:pt>
                <c:pt idx="3">
                  <c:v>880</c:v>
                </c:pt>
                <c:pt idx="4">
                  <c:v>1780</c:v>
                </c:pt>
                <c:pt idx="5">
                  <c:v>1620</c:v>
                </c:pt>
                <c:pt idx="6">
                  <c:v>1220</c:v>
                </c:pt>
                <c:pt idx="7">
                  <c:v>910</c:v>
                </c:pt>
                <c:pt idx="8">
                  <c:v>1500</c:v>
                </c:pt>
                <c:pt idx="9">
                  <c:v>1790</c:v>
                </c:pt>
                <c:pt idx="10">
                  <c:v>1240</c:v>
                </c:pt>
                <c:pt idx="11">
                  <c:v>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B4-4F5F-8462-3C30D38CC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1541104"/>
        <c:axId val="1721544432"/>
      </c:barChart>
      <c:catAx>
        <c:axId val="172154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721544432"/>
        <c:crosses val="autoZero"/>
        <c:auto val="1"/>
        <c:lblAlgn val="ctr"/>
        <c:lblOffset val="100"/>
        <c:noMultiLvlLbl val="0"/>
      </c:catAx>
      <c:valAx>
        <c:axId val="17215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-52"/>
                <a:ea typeface="+mn-ea"/>
                <a:cs typeface="+mn-cs"/>
              </a:defRPr>
            </a:pPr>
            <a:endParaRPr lang="uk-UA"/>
          </a:p>
        </c:txPr>
        <c:crossAx val="172154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85330402651244"/>
          <c:y val="0.8641365878329782"/>
          <c:w val="0.54629300470039899"/>
          <c:h val="0.106399379167304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-52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 algn="ctr">
        <a:defRPr lang="en-US" sz="7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Montserrat" panose="00000500000000000000" pitchFamily="2" charset="-52"/>
          <a:ea typeface="+mn-ea"/>
          <a:cs typeface="+mn-cs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/>
            </a:solidFill>
            <a:ln w="12700"/>
          </c:spPr>
          <c:dPt>
            <c:idx val="0"/>
            <c:bubble3D val="0"/>
            <c:spPr>
              <a:solidFill>
                <a:srgbClr val="7C67DC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93-41E6-9A02-95F1141E74B8}"/>
              </c:ext>
            </c:extLst>
          </c:dPt>
          <c:dPt>
            <c:idx val="1"/>
            <c:bubble3D val="0"/>
            <c:spPr>
              <a:solidFill>
                <a:srgbClr val="C642CD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93-41E6-9A02-95F1141E74B8}"/>
              </c:ext>
            </c:extLst>
          </c:dPt>
          <c:dPt>
            <c:idx val="2"/>
            <c:bubble3D val="0"/>
            <c:spPr>
              <a:solidFill>
                <a:srgbClr val="174F4E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93-41E6-9A02-95F1141E74B8}"/>
              </c:ext>
            </c:extLst>
          </c:dPt>
          <c:dPt>
            <c:idx val="3"/>
            <c:bubble3D val="0"/>
            <c:spPr>
              <a:solidFill>
                <a:srgbClr val="267E7C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93-41E6-9A02-95F1141E74B8}"/>
              </c:ext>
            </c:extLst>
          </c:dPt>
          <c:dPt>
            <c:idx val="4"/>
            <c:bubble3D val="0"/>
            <c:spPr>
              <a:solidFill>
                <a:srgbClr val="81D9D7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93-41E6-9A02-95F1141E74B8}"/>
              </c:ext>
            </c:extLst>
          </c:dPt>
          <c:dPt>
            <c:idx val="5"/>
            <c:bubble3D val="0"/>
            <c:spPr>
              <a:solidFill>
                <a:srgbClr val="FEA4F3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93-41E6-9A02-95F1141E74B8}"/>
              </c:ext>
            </c:extLst>
          </c:dPt>
          <c:dPt>
            <c:idx val="6"/>
            <c:bubble3D val="0"/>
            <c:spPr>
              <a:solidFill>
                <a:srgbClr val="C2B7EF"/>
              </a:solidFill>
              <a:ln w="127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593-41E6-9A02-95F1141E74B8}"/>
              </c:ext>
            </c:extLst>
          </c:dPt>
          <c:dLbls>
            <c:dLbl>
              <c:idx val="0"/>
              <c:layout>
                <c:manualLayout>
                  <c:x val="7.2815589645737824E-2"/>
                  <c:y val="-9.73450649118075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93-41E6-9A02-95F1141E74B8}"/>
                </c:ext>
              </c:extLst>
            </c:dLbl>
            <c:dLbl>
              <c:idx val="1"/>
              <c:layout>
                <c:manualLayout>
                  <c:x val="0.1262136887192789"/>
                  <c:y val="7.96459622005698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93-41E6-9A02-95F1141E74B8}"/>
                </c:ext>
              </c:extLst>
            </c:dLbl>
            <c:dLbl>
              <c:idx val="2"/>
              <c:layout>
                <c:manualLayout>
                  <c:x val="3.8834981144393418E-2"/>
                  <c:y val="8.849551355618864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93-41E6-9A02-95F1141E74B8}"/>
                </c:ext>
              </c:extLst>
            </c:dLbl>
            <c:dLbl>
              <c:idx val="3"/>
              <c:layout>
                <c:manualLayout>
                  <c:x val="-8.7378707574885389E-2"/>
                  <c:y val="0.106194616267426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93-41E6-9A02-95F1141E74B8}"/>
                </c:ext>
              </c:extLst>
            </c:dLbl>
            <c:dLbl>
              <c:idx val="4"/>
              <c:layout>
                <c:manualLayout>
                  <c:x val="-0.10679619814708213"/>
                  <c:y val="4.86725324559037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93-41E6-9A02-95F1141E74B8}"/>
                </c:ext>
              </c:extLst>
            </c:dLbl>
            <c:dLbl>
              <c:idx val="5"/>
              <c:layout>
                <c:manualLayout>
                  <c:x val="-0.10679619814708213"/>
                  <c:y val="-9.29202892339981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593-41E6-9A02-95F1141E74B8}"/>
                </c:ext>
              </c:extLst>
            </c:dLbl>
            <c:dLbl>
              <c:idx val="6"/>
              <c:layout>
                <c:manualLayout>
                  <c:x val="-3.3980608501344316E-2"/>
                  <c:y val="-8.40707378783792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93-41E6-9A02-95F1141E74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0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Sheet1!$H$22:$H$28</c:f>
              <c:strCache>
                <c:ptCount val="7"/>
                <c:pt idx="0">
                  <c:v>Japan</c:v>
                </c:pt>
                <c:pt idx="1">
                  <c:v>India</c:v>
                </c:pt>
                <c:pt idx="2">
                  <c:v>USA</c:v>
                </c:pt>
                <c:pt idx="3">
                  <c:v>Canada</c:v>
                </c:pt>
                <c:pt idx="4">
                  <c:v>Australia</c:v>
                </c:pt>
                <c:pt idx="5">
                  <c:v>Europe</c:v>
                </c:pt>
                <c:pt idx="6">
                  <c:v>Mexico</c:v>
                </c:pt>
              </c:strCache>
            </c:strRef>
          </c:cat>
          <c:val>
            <c:numRef>
              <c:f>Sheet1!$I$22:$I$28</c:f>
              <c:numCache>
                <c:formatCode>General</c:formatCode>
                <c:ptCount val="7"/>
                <c:pt idx="0">
                  <c:v>34000</c:v>
                </c:pt>
                <c:pt idx="1">
                  <c:v>33000</c:v>
                </c:pt>
                <c:pt idx="2">
                  <c:v>25690</c:v>
                </c:pt>
                <c:pt idx="3">
                  <c:v>13750</c:v>
                </c:pt>
                <c:pt idx="4">
                  <c:v>19560</c:v>
                </c:pt>
                <c:pt idx="5">
                  <c:v>17540</c:v>
                </c:pt>
                <c:pt idx="6">
                  <c:v>22340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593-41E6-9A02-95F1141E74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Visits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FF0000"/>
                  </a:gs>
                  <a:gs pos="100000">
                    <a:srgbClr val="FFC0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Sheet1!$C$6:$C$17</c:f>
              <c:numCache>
                <c:formatCode>General</c:formatCode>
                <c:ptCount val="12"/>
                <c:pt idx="0">
                  <c:v>5500</c:v>
                </c:pt>
                <c:pt idx="1">
                  <c:v>5400</c:v>
                </c:pt>
                <c:pt idx="2">
                  <c:v>5600</c:v>
                </c:pt>
                <c:pt idx="3">
                  <c:v>5700</c:v>
                </c:pt>
                <c:pt idx="4">
                  <c:v>5300</c:v>
                </c:pt>
                <c:pt idx="5">
                  <c:v>5400</c:v>
                </c:pt>
                <c:pt idx="6">
                  <c:v>5500</c:v>
                </c:pt>
                <c:pt idx="7">
                  <c:v>5100</c:v>
                </c:pt>
                <c:pt idx="8">
                  <c:v>5200</c:v>
                </c:pt>
                <c:pt idx="9">
                  <c:v>5800</c:v>
                </c:pt>
                <c:pt idx="10">
                  <c:v>5600</c:v>
                </c:pt>
                <c:pt idx="11">
                  <c:v>5700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1F-4764-A412-A8F7D88EB49A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Page Views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390058"/>
                  </a:gs>
                  <a:gs pos="100000">
                    <a:srgbClr val="FF00FF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General</c:formatCode>
                <c:ptCount val="12"/>
                <c:pt idx="0">
                  <c:v>8390</c:v>
                </c:pt>
                <c:pt idx="1">
                  <c:v>8290</c:v>
                </c:pt>
                <c:pt idx="2">
                  <c:v>8490</c:v>
                </c:pt>
                <c:pt idx="3">
                  <c:v>8590</c:v>
                </c:pt>
                <c:pt idx="4">
                  <c:v>8190</c:v>
                </c:pt>
                <c:pt idx="5">
                  <c:v>8290</c:v>
                </c:pt>
                <c:pt idx="6">
                  <c:v>8390</c:v>
                </c:pt>
                <c:pt idx="7">
                  <c:v>7990</c:v>
                </c:pt>
                <c:pt idx="8">
                  <c:v>8090</c:v>
                </c:pt>
                <c:pt idx="9">
                  <c:v>8690</c:v>
                </c:pt>
                <c:pt idx="10">
                  <c:v>8490</c:v>
                </c:pt>
                <c:pt idx="11">
                  <c:v>8590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41F-4764-A412-A8F7D88EB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33551"/>
        <c:axId val="316114111"/>
      </c:lineChart>
      <c:catAx>
        <c:axId val="25753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16114111"/>
        <c:crosses val="autoZero"/>
        <c:auto val="1"/>
        <c:lblAlgn val="ctr"/>
        <c:lblOffset val="100"/>
        <c:noMultiLvlLbl val="0"/>
      </c:catAx>
      <c:valAx>
        <c:axId val="3161141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753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Bounce Rate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FF3300"/>
                  </a:gs>
                  <a:gs pos="100000">
                    <a:srgbClr val="FFC0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Sheet1!$E$6:$E$17</c:f>
              <c:numCache>
                <c:formatCode>0%</c:formatCode>
                <c:ptCount val="12"/>
                <c:pt idx="0">
                  <c:v>0.5</c:v>
                </c:pt>
                <c:pt idx="1">
                  <c:v>0.45</c:v>
                </c:pt>
                <c:pt idx="2">
                  <c:v>0.43</c:v>
                </c:pt>
                <c:pt idx="3">
                  <c:v>0.45</c:v>
                </c:pt>
                <c:pt idx="4">
                  <c:v>0.46</c:v>
                </c:pt>
                <c:pt idx="5">
                  <c:v>0.5</c:v>
                </c:pt>
                <c:pt idx="6">
                  <c:v>0.45</c:v>
                </c:pt>
                <c:pt idx="7">
                  <c:v>0.53</c:v>
                </c:pt>
                <c:pt idx="8">
                  <c:v>0.45</c:v>
                </c:pt>
                <c:pt idx="9">
                  <c:v>0.39</c:v>
                </c:pt>
                <c:pt idx="10">
                  <c:v>0.48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34-4B2D-BBB2-BBAB52E34D15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Exit Rate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390058"/>
                  </a:gs>
                  <a:gs pos="100000">
                    <a:srgbClr val="FF33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Sheet1!$F$6:$F$17</c:f>
              <c:numCache>
                <c:formatCode>0%</c:formatCode>
                <c:ptCount val="12"/>
                <c:pt idx="0">
                  <c:v>0.39</c:v>
                </c:pt>
                <c:pt idx="1">
                  <c:v>0.48</c:v>
                </c:pt>
                <c:pt idx="2">
                  <c:v>0.46</c:v>
                </c:pt>
                <c:pt idx="3">
                  <c:v>0.45</c:v>
                </c:pt>
                <c:pt idx="4">
                  <c:v>0.53</c:v>
                </c:pt>
                <c:pt idx="5">
                  <c:v>0.45</c:v>
                </c:pt>
                <c:pt idx="6">
                  <c:v>0.43</c:v>
                </c:pt>
                <c:pt idx="7">
                  <c:v>0.45</c:v>
                </c:pt>
                <c:pt idx="8">
                  <c:v>0.46</c:v>
                </c:pt>
                <c:pt idx="9">
                  <c:v>0.5</c:v>
                </c:pt>
                <c:pt idx="10">
                  <c:v>0.45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34-4B2D-BBB2-BBAB52E34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663423"/>
        <c:axId val="316102047"/>
      </c:lineChart>
      <c:catAx>
        <c:axId val="31966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16102047"/>
        <c:crosses val="autoZero"/>
        <c:auto val="1"/>
        <c:lblAlgn val="ctr"/>
        <c:lblOffset val="100"/>
        <c:noMultiLvlLbl val="0"/>
      </c:catAx>
      <c:valAx>
        <c:axId val="31610204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1966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Organic Traffic</c:v>
                </c:pt>
              </c:strCache>
            </c:strRef>
          </c:tx>
          <c:spPr>
            <a:gradFill flip="none" rotWithShape="1">
              <a:gsLst>
                <a:gs pos="0">
                  <a:srgbClr val="390058"/>
                </a:gs>
                <a:gs pos="100000">
                  <a:srgbClr val="9966FF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Sheet1!$G$6:$G$17</c:f>
              <c:numCache>
                <c:formatCode>General</c:formatCode>
                <c:ptCount val="12"/>
                <c:pt idx="0">
                  <c:v>2400</c:v>
                </c:pt>
                <c:pt idx="1">
                  <c:v>2600</c:v>
                </c:pt>
                <c:pt idx="2">
                  <c:v>2700</c:v>
                </c:pt>
                <c:pt idx="3">
                  <c:v>3200</c:v>
                </c:pt>
                <c:pt idx="4">
                  <c:v>2100</c:v>
                </c:pt>
                <c:pt idx="5">
                  <c:v>2400</c:v>
                </c:pt>
                <c:pt idx="6">
                  <c:v>2600</c:v>
                </c:pt>
                <c:pt idx="7">
                  <c:v>2700</c:v>
                </c:pt>
                <c:pt idx="8">
                  <c:v>2600</c:v>
                </c:pt>
                <c:pt idx="9">
                  <c:v>2300</c:v>
                </c:pt>
                <c:pt idx="10">
                  <c:v>2800</c:v>
                </c:pt>
                <c:pt idx="11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8-4B87-BCB1-244756AAFD58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Paid Traffic</c:v>
                </c:pt>
              </c:strCache>
            </c:strRef>
          </c:tx>
          <c:spPr>
            <a:gradFill flip="none" rotWithShape="1">
              <a:gsLst>
                <a:gs pos="0">
                  <a:srgbClr val="FF3300"/>
                </a:gs>
                <a:gs pos="100000">
                  <a:srgbClr val="FF00FF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Sheet1!$H$6:$H$17</c:f>
              <c:numCache>
                <c:formatCode>General</c:formatCode>
                <c:ptCount val="12"/>
                <c:pt idx="0">
                  <c:v>450</c:v>
                </c:pt>
                <c:pt idx="1">
                  <c:v>650</c:v>
                </c:pt>
                <c:pt idx="2">
                  <c:v>750</c:v>
                </c:pt>
                <c:pt idx="3">
                  <c:v>650</c:v>
                </c:pt>
                <c:pt idx="4">
                  <c:v>480</c:v>
                </c:pt>
                <c:pt idx="5">
                  <c:v>560</c:v>
                </c:pt>
                <c:pt idx="6">
                  <c:v>790</c:v>
                </c:pt>
                <c:pt idx="7">
                  <c:v>670</c:v>
                </c:pt>
                <c:pt idx="8">
                  <c:v>560</c:v>
                </c:pt>
                <c:pt idx="9">
                  <c:v>730</c:v>
                </c:pt>
                <c:pt idx="10">
                  <c:v>640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78-4B87-BCB1-244756AA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723455"/>
        <c:axId val="322490543"/>
      </c:barChart>
      <c:catAx>
        <c:axId val="24772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22490543"/>
        <c:crosses val="autoZero"/>
        <c:auto val="1"/>
        <c:lblAlgn val="ctr"/>
        <c:lblOffset val="100"/>
        <c:noMultiLvlLbl val="0"/>
      </c:catAx>
      <c:valAx>
        <c:axId val="3224905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772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390058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Sheet1!$I$6:$I$17</c:f>
              <c:numCache>
                <c:formatCode>General</c:formatCode>
                <c:ptCount val="12"/>
                <c:pt idx="0">
                  <c:v>790</c:v>
                </c:pt>
                <c:pt idx="1">
                  <c:v>670</c:v>
                </c:pt>
                <c:pt idx="2">
                  <c:v>560</c:v>
                </c:pt>
                <c:pt idx="3">
                  <c:v>730</c:v>
                </c:pt>
                <c:pt idx="4">
                  <c:v>750</c:v>
                </c:pt>
                <c:pt idx="5">
                  <c:v>650</c:v>
                </c:pt>
                <c:pt idx="6">
                  <c:v>730</c:v>
                </c:pt>
                <c:pt idx="7">
                  <c:v>640</c:v>
                </c:pt>
                <c:pt idx="8">
                  <c:v>350</c:v>
                </c:pt>
                <c:pt idx="9">
                  <c:v>750</c:v>
                </c:pt>
                <c:pt idx="10">
                  <c:v>650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4-4137-BD95-B48827316FCB}"/>
            </c:ext>
          </c:extLst>
        </c:ser>
        <c:ser>
          <c:idx val="1"/>
          <c:order val="1"/>
          <c:tx>
            <c:strRef>
              <c:f>Sheet1!$J$5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Sheet1!$J$6:$J$17</c:f>
              <c:numCache>
                <c:formatCode>General</c:formatCode>
                <c:ptCount val="12"/>
                <c:pt idx="0">
                  <c:v>180</c:v>
                </c:pt>
                <c:pt idx="1">
                  <c:v>210</c:v>
                </c:pt>
                <c:pt idx="2">
                  <c:v>230</c:v>
                </c:pt>
                <c:pt idx="3">
                  <c:v>240</c:v>
                </c:pt>
                <c:pt idx="4">
                  <c:v>190</c:v>
                </c:pt>
                <c:pt idx="5">
                  <c:v>170</c:v>
                </c:pt>
                <c:pt idx="6">
                  <c:v>160</c:v>
                </c:pt>
                <c:pt idx="7">
                  <c:v>180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4-4137-BD95-B48827316FCB}"/>
            </c:ext>
          </c:extLst>
        </c:ser>
        <c:ser>
          <c:idx val="2"/>
          <c:order val="2"/>
          <c:tx>
            <c:strRef>
              <c:f>Sheet1!$K$5</c:f>
              <c:strCache>
                <c:ptCount val="1"/>
                <c:pt idx="0">
                  <c:v>Referral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Sheet1!$K$6:$K$17</c:f>
              <c:numCache>
                <c:formatCode>General</c:formatCode>
                <c:ptCount val="12"/>
                <c:pt idx="0">
                  <c:v>1680</c:v>
                </c:pt>
                <c:pt idx="1">
                  <c:v>1270</c:v>
                </c:pt>
                <c:pt idx="2">
                  <c:v>1360</c:v>
                </c:pt>
                <c:pt idx="3">
                  <c:v>880</c:v>
                </c:pt>
                <c:pt idx="4">
                  <c:v>1780</c:v>
                </c:pt>
                <c:pt idx="5">
                  <c:v>1620</c:v>
                </c:pt>
                <c:pt idx="6">
                  <c:v>1220</c:v>
                </c:pt>
                <c:pt idx="7">
                  <c:v>910</c:v>
                </c:pt>
                <c:pt idx="8">
                  <c:v>1500</c:v>
                </c:pt>
                <c:pt idx="9">
                  <c:v>1790</c:v>
                </c:pt>
                <c:pt idx="10">
                  <c:v>1240</c:v>
                </c:pt>
                <c:pt idx="11">
                  <c:v>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04-4137-BD95-B48827316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807759"/>
        <c:axId val="322483887"/>
      </c:barChart>
      <c:catAx>
        <c:axId val="58580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22483887"/>
        <c:crosses val="autoZero"/>
        <c:auto val="1"/>
        <c:lblAlgn val="ctr"/>
        <c:lblOffset val="100"/>
        <c:noMultiLvlLbl val="0"/>
      </c:catAx>
      <c:valAx>
        <c:axId val="322483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580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Sheet1!$I$21</c:f>
              <c:strCache>
                <c:ptCount val="1"/>
                <c:pt idx="0">
                  <c:v>Page Views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3900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4E-4FFE-9D4B-5AAE42FFD8A6}"/>
              </c:ext>
            </c:extLst>
          </c:dPt>
          <c:dPt>
            <c:idx val="1"/>
            <c:bubble3D val="0"/>
            <c:spPr>
              <a:solidFill>
                <a:srgbClr val="FF33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4E-4FFE-9D4B-5AAE42FFD8A6}"/>
              </c:ext>
            </c:extLst>
          </c:dPt>
          <c:dPt>
            <c:idx val="2"/>
            <c:bubble3D val="0"/>
            <c:spPr>
              <a:solidFill>
                <a:srgbClr val="9966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4E-4FFE-9D4B-5AAE42FFD8A6}"/>
              </c:ext>
            </c:extLst>
          </c:dPt>
          <c:dPt>
            <c:idx val="3"/>
            <c:bubble3D val="0"/>
            <c:spPr>
              <a:solidFill>
                <a:srgbClr val="FF00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B4E-4FFE-9D4B-5AAE42FFD8A6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B4E-4FFE-9D4B-5AAE42FFD8A6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B4E-4FFE-9D4B-5AAE42FFD8A6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B4E-4FFE-9D4B-5AAE42FFD8A6}"/>
              </c:ext>
            </c:extLst>
          </c:dPt>
          <c:dLbls>
            <c:dLbl>
              <c:idx val="0"/>
              <c:layout>
                <c:manualLayout>
                  <c:x val="7.5490193164652108E-2"/>
                  <c:y val="-6.46739268816173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4E-4FFE-9D4B-5AAE42FFD8A6}"/>
                </c:ext>
              </c:extLst>
            </c:dLbl>
            <c:dLbl>
              <c:idx val="1"/>
              <c:layout>
                <c:manualLayout>
                  <c:x val="4.8039213832051342E-2"/>
                  <c:y val="0.117934807842949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4E-4FFE-9D4B-5AAE42FFD8A6}"/>
                </c:ext>
              </c:extLst>
            </c:dLbl>
            <c:dLbl>
              <c:idx val="2"/>
              <c:layout>
                <c:manualLayout>
                  <c:x val="6.2907767587977457E-17"/>
                  <c:y val="7.2282624161807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4E-4FFE-9D4B-5AAE42FFD8A6}"/>
                </c:ext>
              </c:extLst>
            </c:dLbl>
            <c:dLbl>
              <c:idx val="3"/>
              <c:layout>
                <c:manualLayout>
                  <c:x val="-7.5490193164652108E-2"/>
                  <c:y val="6.08695782415222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B4E-4FFE-9D4B-5AAE42FFD8A6}"/>
                </c:ext>
              </c:extLst>
            </c:dLbl>
            <c:dLbl>
              <c:idx val="4"/>
              <c:layout>
                <c:manualLayout>
                  <c:x val="-8.23529379978023E-2"/>
                  <c:y val="3.80434864009513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B4E-4FFE-9D4B-5AAE42FFD8A6}"/>
                </c:ext>
              </c:extLst>
            </c:dLbl>
            <c:dLbl>
              <c:idx val="5"/>
              <c:layout>
                <c:manualLayout>
                  <c:x val="-8.5784310414377396E-2"/>
                  <c:y val="-2.282609184057083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B4E-4FFE-9D4B-5AAE42FFD8A6}"/>
                </c:ext>
              </c:extLst>
            </c:dLbl>
            <c:dLbl>
              <c:idx val="6"/>
              <c:layout>
                <c:manualLayout>
                  <c:x val="-8.235293799780237E-2"/>
                  <c:y val="-3.8043486400951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B4E-4FFE-9D4B-5AAE42FFD8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390058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Sheet1!$H$22:$H$28</c:f>
              <c:strCache>
                <c:ptCount val="7"/>
                <c:pt idx="0">
                  <c:v>Japan</c:v>
                </c:pt>
                <c:pt idx="1">
                  <c:v>India</c:v>
                </c:pt>
                <c:pt idx="2">
                  <c:v>USA</c:v>
                </c:pt>
                <c:pt idx="3">
                  <c:v>Canada</c:v>
                </c:pt>
                <c:pt idx="4">
                  <c:v>Australia</c:v>
                </c:pt>
                <c:pt idx="5">
                  <c:v>Europe</c:v>
                </c:pt>
                <c:pt idx="6">
                  <c:v>Mexico</c:v>
                </c:pt>
              </c:strCache>
            </c:strRef>
          </c:cat>
          <c:val>
            <c:numRef>
              <c:f>Sheet1!$I$22:$I$28</c:f>
              <c:numCache>
                <c:formatCode>General</c:formatCode>
                <c:ptCount val="7"/>
                <c:pt idx="0">
                  <c:v>34000</c:v>
                </c:pt>
                <c:pt idx="1">
                  <c:v>33000</c:v>
                </c:pt>
                <c:pt idx="2">
                  <c:v>25690</c:v>
                </c:pt>
                <c:pt idx="3">
                  <c:v>13750</c:v>
                </c:pt>
                <c:pt idx="4">
                  <c:v>19560</c:v>
                </c:pt>
                <c:pt idx="5">
                  <c:v>17540</c:v>
                </c:pt>
                <c:pt idx="6">
                  <c:v>22340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B4E-4FFE-9D4B-5AAE42FFD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Visits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FF0000"/>
                  </a:gs>
                  <a:gs pos="100000">
                    <a:srgbClr val="FFC0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Sheet1!$C$6:$C$17</c:f>
              <c:numCache>
                <c:formatCode>General</c:formatCode>
                <c:ptCount val="12"/>
                <c:pt idx="0">
                  <c:v>5500</c:v>
                </c:pt>
                <c:pt idx="1">
                  <c:v>5400</c:v>
                </c:pt>
                <c:pt idx="2">
                  <c:v>5600</c:v>
                </c:pt>
                <c:pt idx="3">
                  <c:v>5700</c:v>
                </c:pt>
                <c:pt idx="4">
                  <c:v>5300</c:v>
                </c:pt>
                <c:pt idx="5">
                  <c:v>5400</c:v>
                </c:pt>
                <c:pt idx="6">
                  <c:v>5500</c:v>
                </c:pt>
                <c:pt idx="7">
                  <c:v>5100</c:v>
                </c:pt>
                <c:pt idx="8">
                  <c:v>5200</c:v>
                </c:pt>
                <c:pt idx="9">
                  <c:v>5800</c:v>
                </c:pt>
                <c:pt idx="10">
                  <c:v>5600</c:v>
                </c:pt>
                <c:pt idx="11">
                  <c:v>5700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77-48EE-AAAB-92720C3A6AD7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Page Views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390058"/>
                  </a:gs>
                  <a:gs pos="100000">
                    <a:srgbClr val="FF00FF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General</c:formatCode>
                <c:ptCount val="12"/>
                <c:pt idx="0">
                  <c:v>8390</c:v>
                </c:pt>
                <c:pt idx="1">
                  <c:v>8290</c:v>
                </c:pt>
                <c:pt idx="2">
                  <c:v>8490</c:v>
                </c:pt>
                <c:pt idx="3">
                  <c:v>8590</c:v>
                </c:pt>
                <c:pt idx="4">
                  <c:v>8190</c:v>
                </c:pt>
                <c:pt idx="5">
                  <c:v>8290</c:v>
                </c:pt>
                <c:pt idx="6">
                  <c:v>8390</c:v>
                </c:pt>
                <c:pt idx="7">
                  <c:v>7990</c:v>
                </c:pt>
                <c:pt idx="8">
                  <c:v>8090</c:v>
                </c:pt>
                <c:pt idx="9">
                  <c:v>8690</c:v>
                </c:pt>
                <c:pt idx="10">
                  <c:v>8490</c:v>
                </c:pt>
                <c:pt idx="11">
                  <c:v>8590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577-48EE-AAAB-92720C3A6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33551"/>
        <c:axId val="316114111"/>
      </c:lineChart>
      <c:catAx>
        <c:axId val="25753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16114111"/>
        <c:crosses val="autoZero"/>
        <c:auto val="1"/>
        <c:lblAlgn val="ctr"/>
        <c:lblOffset val="100"/>
        <c:noMultiLvlLbl val="0"/>
      </c:catAx>
      <c:valAx>
        <c:axId val="3161141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753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Bounce Rate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FF3300"/>
                  </a:gs>
                  <a:gs pos="100000">
                    <a:srgbClr val="FFC0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Sheet1!$E$6:$E$17</c:f>
              <c:numCache>
                <c:formatCode>0%</c:formatCode>
                <c:ptCount val="12"/>
                <c:pt idx="0">
                  <c:v>0.5</c:v>
                </c:pt>
                <c:pt idx="1">
                  <c:v>0.45</c:v>
                </c:pt>
                <c:pt idx="2">
                  <c:v>0.43</c:v>
                </c:pt>
                <c:pt idx="3">
                  <c:v>0.45</c:v>
                </c:pt>
                <c:pt idx="4">
                  <c:v>0.46</c:v>
                </c:pt>
                <c:pt idx="5">
                  <c:v>0.5</c:v>
                </c:pt>
                <c:pt idx="6">
                  <c:v>0.45</c:v>
                </c:pt>
                <c:pt idx="7">
                  <c:v>0.53</c:v>
                </c:pt>
                <c:pt idx="8">
                  <c:v>0.45</c:v>
                </c:pt>
                <c:pt idx="9">
                  <c:v>0.39</c:v>
                </c:pt>
                <c:pt idx="10">
                  <c:v>0.48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14-408D-ACCB-D0CE2AF957CE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Exit Rate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390058"/>
                  </a:gs>
                  <a:gs pos="100000">
                    <a:srgbClr val="FF33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Sheet1!$F$6:$F$17</c:f>
              <c:numCache>
                <c:formatCode>0%</c:formatCode>
                <c:ptCount val="12"/>
                <c:pt idx="0">
                  <c:v>0.39</c:v>
                </c:pt>
                <c:pt idx="1">
                  <c:v>0.48</c:v>
                </c:pt>
                <c:pt idx="2">
                  <c:v>0.46</c:v>
                </c:pt>
                <c:pt idx="3">
                  <c:v>0.45</c:v>
                </c:pt>
                <c:pt idx="4">
                  <c:v>0.53</c:v>
                </c:pt>
                <c:pt idx="5">
                  <c:v>0.45</c:v>
                </c:pt>
                <c:pt idx="6">
                  <c:v>0.43</c:v>
                </c:pt>
                <c:pt idx="7">
                  <c:v>0.45</c:v>
                </c:pt>
                <c:pt idx="8">
                  <c:v>0.46</c:v>
                </c:pt>
                <c:pt idx="9">
                  <c:v>0.5</c:v>
                </c:pt>
                <c:pt idx="10">
                  <c:v>0.45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B14-408D-ACCB-D0CE2AF95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663423"/>
        <c:axId val="316102047"/>
      </c:lineChart>
      <c:catAx>
        <c:axId val="31966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16102047"/>
        <c:crosses val="autoZero"/>
        <c:auto val="1"/>
        <c:lblAlgn val="ctr"/>
        <c:lblOffset val="100"/>
        <c:noMultiLvlLbl val="0"/>
      </c:catAx>
      <c:valAx>
        <c:axId val="31610204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1966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Organic Traffic</c:v>
                </c:pt>
              </c:strCache>
            </c:strRef>
          </c:tx>
          <c:spPr>
            <a:gradFill flip="none" rotWithShape="1">
              <a:gsLst>
                <a:gs pos="0">
                  <a:srgbClr val="390058"/>
                </a:gs>
                <a:gs pos="100000">
                  <a:srgbClr val="9966FF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Sheet1!$G$6:$G$17</c:f>
              <c:numCache>
                <c:formatCode>General</c:formatCode>
                <c:ptCount val="12"/>
                <c:pt idx="0">
                  <c:v>2400</c:v>
                </c:pt>
                <c:pt idx="1">
                  <c:v>2600</c:v>
                </c:pt>
                <c:pt idx="2">
                  <c:v>2700</c:v>
                </c:pt>
                <c:pt idx="3">
                  <c:v>3200</c:v>
                </c:pt>
                <c:pt idx="4">
                  <c:v>2100</c:v>
                </c:pt>
                <c:pt idx="5">
                  <c:v>2400</c:v>
                </c:pt>
                <c:pt idx="6">
                  <c:v>2600</c:v>
                </c:pt>
                <c:pt idx="7">
                  <c:v>2700</c:v>
                </c:pt>
                <c:pt idx="8">
                  <c:v>2600</c:v>
                </c:pt>
                <c:pt idx="9">
                  <c:v>2300</c:v>
                </c:pt>
                <c:pt idx="10">
                  <c:v>2800</c:v>
                </c:pt>
                <c:pt idx="11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3-49C2-B57A-CE0AD8EAB117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Paid Traffic</c:v>
                </c:pt>
              </c:strCache>
            </c:strRef>
          </c:tx>
          <c:spPr>
            <a:gradFill flip="none" rotWithShape="1">
              <a:gsLst>
                <a:gs pos="0">
                  <a:srgbClr val="FF3300"/>
                </a:gs>
                <a:gs pos="100000">
                  <a:srgbClr val="FF00FF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Sheet1!$H$6:$H$17</c:f>
              <c:numCache>
                <c:formatCode>General</c:formatCode>
                <c:ptCount val="12"/>
                <c:pt idx="0">
                  <c:v>450</c:v>
                </c:pt>
                <c:pt idx="1">
                  <c:v>650</c:v>
                </c:pt>
                <c:pt idx="2">
                  <c:v>750</c:v>
                </c:pt>
                <c:pt idx="3">
                  <c:v>650</c:v>
                </c:pt>
                <c:pt idx="4">
                  <c:v>480</c:v>
                </c:pt>
                <c:pt idx="5">
                  <c:v>560</c:v>
                </c:pt>
                <c:pt idx="6">
                  <c:v>790</c:v>
                </c:pt>
                <c:pt idx="7">
                  <c:v>670</c:v>
                </c:pt>
                <c:pt idx="8">
                  <c:v>560</c:v>
                </c:pt>
                <c:pt idx="9">
                  <c:v>730</c:v>
                </c:pt>
                <c:pt idx="10">
                  <c:v>640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43-49C2-B57A-CE0AD8EAB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723455"/>
        <c:axId val="322490543"/>
      </c:barChart>
      <c:catAx>
        <c:axId val="24772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22490543"/>
        <c:crosses val="autoZero"/>
        <c:auto val="1"/>
        <c:lblAlgn val="ctr"/>
        <c:lblOffset val="100"/>
        <c:noMultiLvlLbl val="0"/>
      </c:catAx>
      <c:valAx>
        <c:axId val="3224905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772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390058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Sheet1!$I$6:$I$17</c:f>
              <c:numCache>
                <c:formatCode>General</c:formatCode>
                <c:ptCount val="12"/>
                <c:pt idx="0">
                  <c:v>790</c:v>
                </c:pt>
                <c:pt idx="1">
                  <c:v>670</c:v>
                </c:pt>
                <c:pt idx="2">
                  <c:v>560</c:v>
                </c:pt>
                <c:pt idx="3">
                  <c:v>730</c:v>
                </c:pt>
                <c:pt idx="4">
                  <c:v>750</c:v>
                </c:pt>
                <c:pt idx="5">
                  <c:v>650</c:v>
                </c:pt>
                <c:pt idx="6">
                  <c:v>730</c:v>
                </c:pt>
                <c:pt idx="7">
                  <c:v>640</c:v>
                </c:pt>
                <c:pt idx="8">
                  <c:v>350</c:v>
                </c:pt>
                <c:pt idx="9">
                  <c:v>750</c:v>
                </c:pt>
                <c:pt idx="10">
                  <c:v>650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3-4853-83AC-72F84818902E}"/>
            </c:ext>
          </c:extLst>
        </c:ser>
        <c:ser>
          <c:idx val="1"/>
          <c:order val="1"/>
          <c:tx>
            <c:strRef>
              <c:f>Sheet1!$J$5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Sheet1!$J$6:$J$17</c:f>
              <c:numCache>
                <c:formatCode>General</c:formatCode>
                <c:ptCount val="12"/>
                <c:pt idx="0">
                  <c:v>180</c:v>
                </c:pt>
                <c:pt idx="1">
                  <c:v>210</c:v>
                </c:pt>
                <c:pt idx="2">
                  <c:v>230</c:v>
                </c:pt>
                <c:pt idx="3">
                  <c:v>240</c:v>
                </c:pt>
                <c:pt idx="4">
                  <c:v>190</c:v>
                </c:pt>
                <c:pt idx="5">
                  <c:v>170</c:v>
                </c:pt>
                <c:pt idx="6">
                  <c:v>160</c:v>
                </c:pt>
                <c:pt idx="7">
                  <c:v>180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83-4853-83AC-72F84818902E}"/>
            </c:ext>
          </c:extLst>
        </c:ser>
        <c:ser>
          <c:idx val="2"/>
          <c:order val="2"/>
          <c:tx>
            <c:strRef>
              <c:f>Sheet1!$K$5</c:f>
              <c:strCache>
                <c:ptCount val="1"/>
                <c:pt idx="0">
                  <c:v>Referral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Sheet1!$K$6:$K$17</c:f>
              <c:numCache>
                <c:formatCode>General</c:formatCode>
                <c:ptCount val="12"/>
                <c:pt idx="0">
                  <c:v>1680</c:v>
                </c:pt>
                <c:pt idx="1">
                  <c:v>1270</c:v>
                </c:pt>
                <c:pt idx="2">
                  <c:v>1360</c:v>
                </c:pt>
                <c:pt idx="3">
                  <c:v>880</c:v>
                </c:pt>
                <c:pt idx="4">
                  <c:v>1780</c:v>
                </c:pt>
                <c:pt idx="5">
                  <c:v>1620</c:v>
                </c:pt>
                <c:pt idx="6">
                  <c:v>1220</c:v>
                </c:pt>
                <c:pt idx="7">
                  <c:v>910</c:v>
                </c:pt>
                <c:pt idx="8">
                  <c:v>1500</c:v>
                </c:pt>
                <c:pt idx="9">
                  <c:v>1790</c:v>
                </c:pt>
                <c:pt idx="10">
                  <c:v>1240</c:v>
                </c:pt>
                <c:pt idx="11">
                  <c:v>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83-4853-83AC-72F848189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807759"/>
        <c:axId val="322483887"/>
      </c:barChart>
      <c:catAx>
        <c:axId val="58580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22483887"/>
        <c:crosses val="autoZero"/>
        <c:auto val="1"/>
        <c:lblAlgn val="ctr"/>
        <c:lblOffset val="100"/>
        <c:noMultiLvlLbl val="0"/>
      </c:catAx>
      <c:valAx>
        <c:axId val="322483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580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Sheet1!$I$21</c:f>
              <c:strCache>
                <c:ptCount val="1"/>
                <c:pt idx="0">
                  <c:v>Page Views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3900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5D-4822-914F-373491CC7F98}"/>
              </c:ext>
            </c:extLst>
          </c:dPt>
          <c:dPt>
            <c:idx val="1"/>
            <c:bubble3D val="0"/>
            <c:spPr>
              <a:solidFill>
                <a:srgbClr val="FF33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5D-4822-914F-373491CC7F98}"/>
              </c:ext>
            </c:extLst>
          </c:dPt>
          <c:dPt>
            <c:idx val="2"/>
            <c:bubble3D val="0"/>
            <c:spPr>
              <a:solidFill>
                <a:srgbClr val="9966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5D-4822-914F-373491CC7F98}"/>
              </c:ext>
            </c:extLst>
          </c:dPt>
          <c:dPt>
            <c:idx val="3"/>
            <c:bubble3D val="0"/>
            <c:spPr>
              <a:solidFill>
                <a:srgbClr val="FF00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5D-4822-914F-373491CC7F98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5D-4822-914F-373491CC7F98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35D-4822-914F-373491CC7F98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35D-4822-914F-373491CC7F98}"/>
              </c:ext>
            </c:extLst>
          </c:dPt>
          <c:dLbls>
            <c:dLbl>
              <c:idx val="0"/>
              <c:layout>
                <c:manualLayout>
                  <c:x val="7.5490193164652108E-2"/>
                  <c:y val="-6.46739268816173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5D-4822-914F-373491CC7F98}"/>
                </c:ext>
              </c:extLst>
            </c:dLbl>
            <c:dLbl>
              <c:idx val="1"/>
              <c:layout>
                <c:manualLayout>
                  <c:x val="4.8039213832051342E-2"/>
                  <c:y val="0.117934807842949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5D-4822-914F-373491CC7F98}"/>
                </c:ext>
              </c:extLst>
            </c:dLbl>
            <c:dLbl>
              <c:idx val="2"/>
              <c:layout>
                <c:manualLayout>
                  <c:x val="6.2907767587977457E-17"/>
                  <c:y val="7.2282624161807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5D-4822-914F-373491CC7F98}"/>
                </c:ext>
              </c:extLst>
            </c:dLbl>
            <c:dLbl>
              <c:idx val="3"/>
              <c:layout>
                <c:manualLayout>
                  <c:x val="-7.5490193164652108E-2"/>
                  <c:y val="6.08695782415222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5D-4822-914F-373491CC7F98}"/>
                </c:ext>
              </c:extLst>
            </c:dLbl>
            <c:dLbl>
              <c:idx val="4"/>
              <c:layout>
                <c:manualLayout>
                  <c:x val="-8.23529379978023E-2"/>
                  <c:y val="3.80434864009513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5D-4822-914F-373491CC7F98}"/>
                </c:ext>
              </c:extLst>
            </c:dLbl>
            <c:dLbl>
              <c:idx val="5"/>
              <c:layout>
                <c:manualLayout>
                  <c:x val="-8.5784310414377396E-2"/>
                  <c:y val="-2.282609184057083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35D-4822-914F-373491CC7F98}"/>
                </c:ext>
              </c:extLst>
            </c:dLbl>
            <c:dLbl>
              <c:idx val="6"/>
              <c:layout>
                <c:manualLayout>
                  <c:x val="-8.235293799780237E-2"/>
                  <c:y val="-3.8043486400951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35D-4822-914F-373491CC7F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390058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Sheet1!$H$22:$H$28</c:f>
              <c:strCache>
                <c:ptCount val="7"/>
                <c:pt idx="0">
                  <c:v>Japan</c:v>
                </c:pt>
                <c:pt idx="1">
                  <c:v>India</c:v>
                </c:pt>
                <c:pt idx="2">
                  <c:v>USA</c:v>
                </c:pt>
                <c:pt idx="3">
                  <c:v>Canada</c:v>
                </c:pt>
                <c:pt idx="4">
                  <c:v>Australia</c:v>
                </c:pt>
                <c:pt idx="5">
                  <c:v>Europe</c:v>
                </c:pt>
                <c:pt idx="6">
                  <c:v>Mexico</c:v>
                </c:pt>
              </c:strCache>
            </c:strRef>
          </c:cat>
          <c:val>
            <c:numRef>
              <c:f>Sheet1!$I$22:$I$28</c:f>
              <c:numCache>
                <c:formatCode>General</c:formatCode>
                <c:ptCount val="7"/>
                <c:pt idx="0">
                  <c:v>34000</c:v>
                </c:pt>
                <c:pt idx="1">
                  <c:v>33000</c:v>
                </c:pt>
                <c:pt idx="2">
                  <c:v>25690</c:v>
                </c:pt>
                <c:pt idx="3">
                  <c:v>13750</c:v>
                </c:pt>
                <c:pt idx="4">
                  <c:v>19560</c:v>
                </c:pt>
                <c:pt idx="5">
                  <c:v>17540</c:v>
                </c:pt>
                <c:pt idx="6">
                  <c:v>22340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5D-4822-914F-373491CC7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Visits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FF0000"/>
                  </a:gs>
                  <a:gs pos="100000">
                    <a:srgbClr val="FFC0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Sheet1!$C$6:$C$17</c:f>
              <c:numCache>
                <c:formatCode>General</c:formatCode>
                <c:ptCount val="12"/>
                <c:pt idx="0">
                  <c:v>5500</c:v>
                </c:pt>
                <c:pt idx="1">
                  <c:v>5400</c:v>
                </c:pt>
                <c:pt idx="2">
                  <c:v>5600</c:v>
                </c:pt>
                <c:pt idx="3">
                  <c:v>5700</c:v>
                </c:pt>
                <c:pt idx="4">
                  <c:v>5300</c:v>
                </c:pt>
                <c:pt idx="5">
                  <c:v>5400</c:v>
                </c:pt>
                <c:pt idx="6">
                  <c:v>5500</c:v>
                </c:pt>
                <c:pt idx="7">
                  <c:v>5100</c:v>
                </c:pt>
                <c:pt idx="8">
                  <c:v>5200</c:v>
                </c:pt>
                <c:pt idx="9">
                  <c:v>5800</c:v>
                </c:pt>
                <c:pt idx="10">
                  <c:v>5600</c:v>
                </c:pt>
                <c:pt idx="11">
                  <c:v>5700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B4-4132-91A7-045176124196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Page Views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390058"/>
                  </a:gs>
                  <a:gs pos="100000">
                    <a:srgbClr val="FF00FF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General</c:formatCode>
                <c:ptCount val="12"/>
                <c:pt idx="0">
                  <c:v>8390</c:v>
                </c:pt>
                <c:pt idx="1">
                  <c:v>8290</c:v>
                </c:pt>
                <c:pt idx="2">
                  <c:v>8490</c:v>
                </c:pt>
                <c:pt idx="3">
                  <c:v>8590</c:v>
                </c:pt>
                <c:pt idx="4">
                  <c:v>8190</c:v>
                </c:pt>
                <c:pt idx="5">
                  <c:v>8290</c:v>
                </c:pt>
                <c:pt idx="6">
                  <c:v>8390</c:v>
                </c:pt>
                <c:pt idx="7">
                  <c:v>7990</c:v>
                </c:pt>
                <c:pt idx="8">
                  <c:v>8090</c:v>
                </c:pt>
                <c:pt idx="9">
                  <c:v>8690</c:v>
                </c:pt>
                <c:pt idx="10">
                  <c:v>8490</c:v>
                </c:pt>
                <c:pt idx="11">
                  <c:v>8590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B4-4132-91A7-045176124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33551"/>
        <c:axId val="316114111"/>
      </c:lineChart>
      <c:catAx>
        <c:axId val="25753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16114111"/>
        <c:crosses val="autoZero"/>
        <c:auto val="1"/>
        <c:lblAlgn val="ctr"/>
        <c:lblOffset val="100"/>
        <c:noMultiLvlLbl val="0"/>
      </c:catAx>
      <c:valAx>
        <c:axId val="3161141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753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Bounce Rate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FF3300"/>
                  </a:gs>
                  <a:gs pos="100000">
                    <a:srgbClr val="FFC0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Sheet1!$E$6:$E$17</c:f>
              <c:numCache>
                <c:formatCode>0%</c:formatCode>
                <c:ptCount val="12"/>
                <c:pt idx="0">
                  <c:v>0.5</c:v>
                </c:pt>
                <c:pt idx="1">
                  <c:v>0.45</c:v>
                </c:pt>
                <c:pt idx="2">
                  <c:v>0.43</c:v>
                </c:pt>
                <c:pt idx="3">
                  <c:v>0.45</c:v>
                </c:pt>
                <c:pt idx="4">
                  <c:v>0.46</c:v>
                </c:pt>
                <c:pt idx="5">
                  <c:v>0.5</c:v>
                </c:pt>
                <c:pt idx="6">
                  <c:v>0.45</c:v>
                </c:pt>
                <c:pt idx="7">
                  <c:v>0.53</c:v>
                </c:pt>
                <c:pt idx="8">
                  <c:v>0.45</c:v>
                </c:pt>
                <c:pt idx="9">
                  <c:v>0.39</c:v>
                </c:pt>
                <c:pt idx="10">
                  <c:v>0.48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F8-40C9-AD28-5EDF589ED450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Exit Rate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390058"/>
                  </a:gs>
                  <a:gs pos="100000">
                    <a:srgbClr val="FF33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Sheet1!$F$6:$F$17</c:f>
              <c:numCache>
                <c:formatCode>0%</c:formatCode>
                <c:ptCount val="12"/>
                <c:pt idx="0">
                  <c:v>0.39</c:v>
                </c:pt>
                <c:pt idx="1">
                  <c:v>0.48</c:v>
                </c:pt>
                <c:pt idx="2">
                  <c:v>0.46</c:v>
                </c:pt>
                <c:pt idx="3">
                  <c:v>0.45</c:v>
                </c:pt>
                <c:pt idx="4">
                  <c:v>0.53</c:v>
                </c:pt>
                <c:pt idx="5">
                  <c:v>0.45</c:v>
                </c:pt>
                <c:pt idx="6">
                  <c:v>0.43</c:v>
                </c:pt>
                <c:pt idx="7">
                  <c:v>0.45</c:v>
                </c:pt>
                <c:pt idx="8">
                  <c:v>0.46</c:v>
                </c:pt>
                <c:pt idx="9">
                  <c:v>0.5</c:v>
                </c:pt>
                <c:pt idx="10">
                  <c:v>0.45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F8-40C9-AD28-5EDF589ED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663423"/>
        <c:axId val="316102047"/>
      </c:lineChart>
      <c:catAx>
        <c:axId val="31966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16102047"/>
        <c:crosses val="autoZero"/>
        <c:auto val="1"/>
        <c:lblAlgn val="ctr"/>
        <c:lblOffset val="100"/>
        <c:noMultiLvlLbl val="0"/>
      </c:catAx>
      <c:valAx>
        <c:axId val="31610204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1966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Organic Traffic</c:v>
                </c:pt>
              </c:strCache>
            </c:strRef>
          </c:tx>
          <c:spPr>
            <a:gradFill flip="none" rotWithShape="1">
              <a:gsLst>
                <a:gs pos="0">
                  <a:srgbClr val="390058"/>
                </a:gs>
                <a:gs pos="100000">
                  <a:srgbClr val="9966FF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Sheet1!$G$6:$G$17</c:f>
              <c:numCache>
                <c:formatCode>General</c:formatCode>
                <c:ptCount val="12"/>
                <c:pt idx="0">
                  <c:v>2400</c:v>
                </c:pt>
                <c:pt idx="1">
                  <c:v>2600</c:v>
                </c:pt>
                <c:pt idx="2">
                  <c:v>2700</c:v>
                </c:pt>
                <c:pt idx="3">
                  <c:v>3200</c:v>
                </c:pt>
                <c:pt idx="4">
                  <c:v>2100</c:v>
                </c:pt>
                <c:pt idx="5">
                  <c:v>2400</c:v>
                </c:pt>
                <c:pt idx="6">
                  <c:v>2600</c:v>
                </c:pt>
                <c:pt idx="7">
                  <c:v>2700</c:v>
                </c:pt>
                <c:pt idx="8">
                  <c:v>2600</c:v>
                </c:pt>
                <c:pt idx="9">
                  <c:v>2300</c:v>
                </c:pt>
                <c:pt idx="10">
                  <c:v>2800</c:v>
                </c:pt>
                <c:pt idx="11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5-4E97-A907-DEFEEF2F1B50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Paid Traffic</c:v>
                </c:pt>
              </c:strCache>
            </c:strRef>
          </c:tx>
          <c:spPr>
            <a:gradFill flip="none" rotWithShape="1">
              <a:gsLst>
                <a:gs pos="0">
                  <a:srgbClr val="FF3300"/>
                </a:gs>
                <a:gs pos="100000">
                  <a:srgbClr val="FF00FF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Sheet1!$H$6:$H$17</c:f>
              <c:numCache>
                <c:formatCode>General</c:formatCode>
                <c:ptCount val="12"/>
                <c:pt idx="0">
                  <c:v>450</c:v>
                </c:pt>
                <c:pt idx="1">
                  <c:v>650</c:v>
                </c:pt>
                <c:pt idx="2">
                  <c:v>750</c:v>
                </c:pt>
                <c:pt idx="3">
                  <c:v>650</c:v>
                </c:pt>
                <c:pt idx="4">
                  <c:v>480</c:v>
                </c:pt>
                <c:pt idx="5">
                  <c:v>560</c:v>
                </c:pt>
                <c:pt idx="6">
                  <c:v>790</c:v>
                </c:pt>
                <c:pt idx="7">
                  <c:v>670</c:v>
                </c:pt>
                <c:pt idx="8">
                  <c:v>560</c:v>
                </c:pt>
                <c:pt idx="9">
                  <c:v>730</c:v>
                </c:pt>
                <c:pt idx="10">
                  <c:v>640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85-4E97-A907-DEFEEF2F1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723455"/>
        <c:axId val="322490543"/>
      </c:barChart>
      <c:catAx>
        <c:axId val="24772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22490543"/>
        <c:crosses val="autoZero"/>
        <c:auto val="1"/>
        <c:lblAlgn val="ctr"/>
        <c:lblOffset val="100"/>
        <c:noMultiLvlLbl val="0"/>
      </c:catAx>
      <c:valAx>
        <c:axId val="3224905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772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390058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Sheet1!$I$6:$I$17</c:f>
              <c:numCache>
                <c:formatCode>General</c:formatCode>
                <c:ptCount val="12"/>
                <c:pt idx="0">
                  <c:v>790</c:v>
                </c:pt>
                <c:pt idx="1">
                  <c:v>670</c:v>
                </c:pt>
                <c:pt idx="2">
                  <c:v>560</c:v>
                </c:pt>
                <c:pt idx="3">
                  <c:v>730</c:v>
                </c:pt>
                <c:pt idx="4">
                  <c:v>750</c:v>
                </c:pt>
                <c:pt idx="5">
                  <c:v>650</c:v>
                </c:pt>
                <c:pt idx="6">
                  <c:v>730</c:v>
                </c:pt>
                <c:pt idx="7">
                  <c:v>640</c:v>
                </c:pt>
                <c:pt idx="8">
                  <c:v>350</c:v>
                </c:pt>
                <c:pt idx="9">
                  <c:v>750</c:v>
                </c:pt>
                <c:pt idx="10">
                  <c:v>650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8-43FE-A555-7DA9264C6FF2}"/>
            </c:ext>
          </c:extLst>
        </c:ser>
        <c:ser>
          <c:idx val="1"/>
          <c:order val="1"/>
          <c:tx>
            <c:strRef>
              <c:f>Sheet1!$J$5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Sheet1!$J$6:$J$17</c:f>
              <c:numCache>
                <c:formatCode>General</c:formatCode>
                <c:ptCount val="12"/>
                <c:pt idx="0">
                  <c:v>180</c:v>
                </c:pt>
                <c:pt idx="1">
                  <c:v>210</c:v>
                </c:pt>
                <c:pt idx="2">
                  <c:v>230</c:v>
                </c:pt>
                <c:pt idx="3">
                  <c:v>240</c:v>
                </c:pt>
                <c:pt idx="4">
                  <c:v>190</c:v>
                </c:pt>
                <c:pt idx="5">
                  <c:v>170</c:v>
                </c:pt>
                <c:pt idx="6">
                  <c:v>160</c:v>
                </c:pt>
                <c:pt idx="7">
                  <c:v>180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48-43FE-A555-7DA9264C6FF2}"/>
            </c:ext>
          </c:extLst>
        </c:ser>
        <c:ser>
          <c:idx val="2"/>
          <c:order val="2"/>
          <c:tx>
            <c:strRef>
              <c:f>Sheet1!$K$5</c:f>
              <c:strCache>
                <c:ptCount val="1"/>
                <c:pt idx="0">
                  <c:v>Referral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Sheet1!$K$6:$K$17</c:f>
              <c:numCache>
                <c:formatCode>General</c:formatCode>
                <c:ptCount val="12"/>
                <c:pt idx="0">
                  <c:v>1680</c:v>
                </c:pt>
                <c:pt idx="1">
                  <c:v>1270</c:v>
                </c:pt>
                <c:pt idx="2">
                  <c:v>1360</c:v>
                </c:pt>
                <c:pt idx="3">
                  <c:v>880</c:v>
                </c:pt>
                <c:pt idx="4">
                  <c:v>1780</c:v>
                </c:pt>
                <c:pt idx="5">
                  <c:v>1620</c:v>
                </c:pt>
                <c:pt idx="6">
                  <c:v>1220</c:v>
                </c:pt>
                <c:pt idx="7">
                  <c:v>910</c:v>
                </c:pt>
                <c:pt idx="8">
                  <c:v>1500</c:v>
                </c:pt>
                <c:pt idx="9">
                  <c:v>1790</c:v>
                </c:pt>
                <c:pt idx="10">
                  <c:v>1240</c:v>
                </c:pt>
                <c:pt idx="11">
                  <c:v>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48-43FE-A555-7DA9264C6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807759"/>
        <c:axId val="322483887"/>
      </c:barChart>
      <c:catAx>
        <c:axId val="58580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22483887"/>
        <c:crosses val="autoZero"/>
        <c:auto val="1"/>
        <c:lblAlgn val="ctr"/>
        <c:lblOffset val="100"/>
        <c:noMultiLvlLbl val="0"/>
      </c:catAx>
      <c:valAx>
        <c:axId val="322483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580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Sheet1!$I$21</c:f>
              <c:strCache>
                <c:ptCount val="1"/>
                <c:pt idx="0">
                  <c:v>Page Views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3900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AE-4F67-98FC-34D8CBCB40A0}"/>
              </c:ext>
            </c:extLst>
          </c:dPt>
          <c:dPt>
            <c:idx val="1"/>
            <c:bubble3D val="0"/>
            <c:spPr>
              <a:solidFill>
                <a:srgbClr val="FF33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AE-4F67-98FC-34D8CBCB40A0}"/>
              </c:ext>
            </c:extLst>
          </c:dPt>
          <c:dPt>
            <c:idx val="2"/>
            <c:bubble3D val="0"/>
            <c:spPr>
              <a:solidFill>
                <a:srgbClr val="9966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AE-4F67-98FC-34D8CBCB40A0}"/>
              </c:ext>
            </c:extLst>
          </c:dPt>
          <c:dPt>
            <c:idx val="3"/>
            <c:bubble3D val="0"/>
            <c:spPr>
              <a:solidFill>
                <a:srgbClr val="FF00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4AE-4F67-98FC-34D8CBCB40A0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4AE-4F67-98FC-34D8CBCB40A0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4AE-4F67-98FC-34D8CBCB40A0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4AE-4F67-98FC-34D8CBCB40A0}"/>
              </c:ext>
            </c:extLst>
          </c:dPt>
          <c:dLbls>
            <c:dLbl>
              <c:idx val="0"/>
              <c:layout>
                <c:manualLayout>
                  <c:x val="7.5490193164652108E-2"/>
                  <c:y val="-6.46739268816173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AE-4F67-98FC-34D8CBCB40A0}"/>
                </c:ext>
              </c:extLst>
            </c:dLbl>
            <c:dLbl>
              <c:idx val="1"/>
              <c:layout>
                <c:manualLayout>
                  <c:x val="4.8039213832051342E-2"/>
                  <c:y val="0.117934807842949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AE-4F67-98FC-34D8CBCB40A0}"/>
                </c:ext>
              </c:extLst>
            </c:dLbl>
            <c:dLbl>
              <c:idx val="2"/>
              <c:layout>
                <c:manualLayout>
                  <c:x val="6.2907767587977457E-17"/>
                  <c:y val="7.2282624161807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AE-4F67-98FC-34D8CBCB40A0}"/>
                </c:ext>
              </c:extLst>
            </c:dLbl>
            <c:dLbl>
              <c:idx val="3"/>
              <c:layout>
                <c:manualLayout>
                  <c:x val="-7.5490193164652108E-2"/>
                  <c:y val="6.08695782415222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4AE-4F67-98FC-34D8CBCB40A0}"/>
                </c:ext>
              </c:extLst>
            </c:dLbl>
            <c:dLbl>
              <c:idx val="4"/>
              <c:layout>
                <c:manualLayout>
                  <c:x val="-8.23529379978023E-2"/>
                  <c:y val="3.80434864009513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4AE-4F67-98FC-34D8CBCB40A0}"/>
                </c:ext>
              </c:extLst>
            </c:dLbl>
            <c:dLbl>
              <c:idx val="5"/>
              <c:layout>
                <c:manualLayout>
                  <c:x val="-8.5784310414377396E-2"/>
                  <c:y val="-2.282609184057083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4AE-4F67-98FC-34D8CBCB40A0}"/>
                </c:ext>
              </c:extLst>
            </c:dLbl>
            <c:dLbl>
              <c:idx val="6"/>
              <c:layout>
                <c:manualLayout>
                  <c:x val="-8.235293799780237E-2"/>
                  <c:y val="-3.8043486400951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4AE-4F67-98FC-34D8CBCB40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390058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Sheet1!$H$22:$H$28</c:f>
              <c:strCache>
                <c:ptCount val="7"/>
                <c:pt idx="0">
                  <c:v>Japan</c:v>
                </c:pt>
                <c:pt idx="1">
                  <c:v>India</c:v>
                </c:pt>
                <c:pt idx="2">
                  <c:v>USA</c:v>
                </c:pt>
                <c:pt idx="3">
                  <c:v>Canada</c:v>
                </c:pt>
                <c:pt idx="4">
                  <c:v>Australia</c:v>
                </c:pt>
                <c:pt idx="5">
                  <c:v>Europe</c:v>
                </c:pt>
                <c:pt idx="6">
                  <c:v>Mexico</c:v>
                </c:pt>
              </c:strCache>
            </c:strRef>
          </c:cat>
          <c:val>
            <c:numRef>
              <c:f>Sheet1!$I$22:$I$28</c:f>
              <c:numCache>
                <c:formatCode>General</c:formatCode>
                <c:ptCount val="7"/>
                <c:pt idx="0">
                  <c:v>34000</c:v>
                </c:pt>
                <c:pt idx="1">
                  <c:v>33000</c:v>
                </c:pt>
                <c:pt idx="2">
                  <c:v>25690</c:v>
                </c:pt>
                <c:pt idx="3">
                  <c:v>13750</c:v>
                </c:pt>
                <c:pt idx="4">
                  <c:v>19560</c:v>
                </c:pt>
                <c:pt idx="5">
                  <c:v>17540</c:v>
                </c:pt>
                <c:pt idx="6">
                  <c:v>22340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AE-4F67-98FC-34D8CBCB4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Visits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FF0000"/>
                  </a:gs>
                  <a:gs pos="100000">
                    <a:srgbClr val="FFC0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Sheet1!$C$6:$C$17</c:f>
              <c:numCache>
                <c:formatCode>General</c:formatCode>
                <c:ptCount val="12"/>
                <c:pt idx="0">
                  <c:v>5500</c:v>
                </c:pt>
                <c:pt idx="1">
                  <c:v>5400</c:v>
                </c:pt>
                <c:pt idx="2">
                  <c:v>5600</c:v>
                </c:pt>
                <c:pt idx="3">
                  <c:v>5700</c:v>
                </c:pt>
                <c:pt idx="4">
                  <c:v>5300</c:v>
                </c:pt>
                <c:pt idx="5">
                  <c:v>5400</c:v>
                </c:pt>
                <c:pt idx="6">
                  <c:v>5500</c:v>
                </c:pt>
                <c:pt idx="7">
                  <c:v>5100</c:v>
                </c:pt>
                <c:pt idx="8">
                  <c:v>5200</c:v>
                </c:pt>
                <c:pt idx="9">
                  <c:v>5800</c:v>
                </c:pt>
                <c:pt idx="10">
                  <c:v>5600</c:v>
                </c:pt>
                <c:pt idx="11">
                  <c:v>5700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69-461B-AF77-8C457F3D0EDF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Page Views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390058"/>
                  </a:gs>
                  <a:gs pos="100000">
                    <a:srgbClr val="FF00FF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General</c:formatCode>
                <c:ptCount val="12"/>
                <c:pt idx="0">
                  <c:v>8390</c:v>
                </c:pt>
                <c:pt idx="1">
                  <c:v>8290</c:v>
                </c:pt>
                <c:pt idx="2">
                  <c:v>8490</c:v>
                </c:pt>
                <c:pt idx="3">
                  <c:v>8590</c:v>
                </c:pt>
                <c:pt idx="4">
                  <c:v>8190</c:v>
                </c:pt>
                <c:pt idx="5">
                  <c:v>8290</c:v>
                </c:pt>
                <c:pt idx="6">
                  <c:v>8390</c:v>
                </c:pt>
                <c:pt idx="7">
                  <c:v>7990</c:v>
                </c:pt>
                <c:pt idx="8">
                  <c:v>8090</c:v>
                </c:pt>
                <c:pt idx="9">
                  <c:v>8690</c:v>
                </c:pt>
                <c:pt idx="10">
                  <c:v>8490</c:v>
                </c:pt>
                <c:pt idx="11">
                  <c:v>8590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69-461B-AF77-8C457F3D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33551"/>
        <c:axId val="316114111"/>
      </c:lineChart>
      <c:catAx>
        <c:axId val="25753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16114111"/>
        <c:crosses val="autoZero"/>
        <c:auto val="1"/>
        <c:lblAlgn val="ctr"/>
        <c:lblOffset val="100"/>
        <c:noMultiLvlLbl val="0"/>
      </c:catAx>
      <c:valAx>
        <c:axId val="3161141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753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Bounce Rate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FF3300"/>
                  </a:gs>
                  <a:gs pos="100000">
                    <a:srgbClr val="FFC0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Sheet1!$E$6:$E$17</c:f>
              <c:numCache>
                <c:formatCode>0%</c:formatCode>
                <c:ptCount val="12"/>
                <c:pt idx="0">
                  <c:v>0.5</c:v>
                </c:pt>
                <c:pt idx="1">
                  <c:v>0.45</c:v>
                </c:pt>
                <c:pt idx="2">
                  <c:v>0.43</c:v>
                </c:pt>
                <c:pt idx="3">
                  <c:v>0.45</c:v>
                </c:pt>
                <c:pt idx="4">
                  <c:v>0.46</c:v>
                </c:pt>
                <c:pt idx="5">
                  <c:v>0.5</c:v>
                </c:pt>
                <c:pt idx="6">
                  <c:v>0.45</c:v>
                </c:pt>
                <c:pt idx="7">
                  <c:v>0.53</c:v>
                </c:pt>
                <c:pt idx="8">
                  <c:v>0.45</c:v>
                </c:pt>
                <c:pt idx="9">
                  <c:v>0.39</c:v>
                </c:pt>
                <c:pt idx="10">
                  <c:v>0.48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76-463D-8386-C58AC7E7F667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Exit Rate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390058"/>
                  </a:gs>
                  <a:gs pos="100000">
                    <a:srgbClr val="FF33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Sheet1!$F$6:$F$17</c:f>
              <c:numCache>
                <c:formatCode>0%</c:formatCode>
                <c:ptCount val="12"/>
                <c:pt idx="0">
                  <c:v>0.39</c:v>
                </c:pt>
                <c:pt idx="1">
                  <c:v>0.48</c:v>
                </c:pt>
                <c:pt idx="2">
                  <c:v>0.46</c:v>
                </c:pt>
                <c:pt idx="3">
                  <c:v>0.45</c:v>
                </c:pt>
                <c:pt idx="4">
                  <c:v>0.53</c:v>
                </c:pt>
                <c:pt idx="5">
                  <c:v>0.45</c:v>
                </c:pt>
                <c:pt idx="6">
                  <c:v>0.43</c:v>
                </c:pt>
                <c:pt idx="7">
                  <c:v>0.45</c:v>
                </c:pt>
                <c:pt idx="8">
                  <c:v>0.46</c:v>
                </c:pt>
                <c:pt idx="9">
                  <c:v>0.5</c:v>
                </c:pt>
                <c:pt idx="10">
                  <c:v>0.45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976-463D-8386-C58AC7E7F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663423"/>
        <c:axId val="316102047"/>
      </c:lineChart>
      <c:catAx>
        <c:axId val="31966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16102047"/>
        <c:crosses val="autoZero"/>
        <c:auto val="1"/>
        <c:lblAlgn val="ctr"/>
        <c:lblOffset val="100"/>
        <c:noMultiLvlLbl val="0"/>
      </c:catAx>
      <c:valAx>
        <c:axId val="31610204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1966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Organic Traffic</c:v>
                </c:pt>
              </c:strCache>
            </c:strRef>
          </c:tx>
          <c:spPr>
            <a:gradFill flip="none" rotWithShape="1">
              <a:gsLst>
                <a:gs pos="0">
                  <a:srgbClr val="390058"/>
                </a:gs>
                <a:gs pos="100000">
                  <a:srgbClr val="9966FF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Sheet1!$G$6:$G$17</c:f>
              <c:numCache>
                <c:formatCode>General</c:formatCode>
                <c:ptCount val="12"/>
                <c:pt idx="0">
                  <c:v>2400</c:v>
                </c:pt>
                <c:pt idx="1">
                  <c:v>2600</c:v>
                </c:pt>
                <c:pt idx="2">
                  <c:v>2700</c:v>
                </c:pt>
                <c:pt idx="3">
                  <c:v>3200</c:v>
                </c:pt>
                <c:pt idx="4">
                  <c:v>2100</c:v>
                </c:pt>
                <c:pt idx="5">
                  <c:v>2400</c:v>
                </c:pt>
                <c:pt idx="6">
                  <c:v>2600</c:v>
                </c:pt>
                <c:pt idx="7">
                  <c:v>2700</c:v>
                </c:pt>
                <c:pt idx="8">
                  <c:v>2600</c:v>
                </c:pt>
                <c:pt idx="9">
                  <c:v>2300</c:v>
                </c:pt>
                <c:pt idx="10">
                  <c:v>2800</c:v>
                </c:pt>
                <c:pt idx="11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9-4511-B61F-9C7EAB08B108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Paid Traffic</c:v>
                </c:pt>
              </c:strCache>
            </c:strRef>
          </c:tx>
          <c:spPr>
            <a:gradFill flip="none" rotWithShape="1">
              <a:gsLst>
                <a:gs pos="0">
                  <a:srgbClr val="FF3300"/>
                </a:gs>
                <a:gs pos="100000">
                  <a:srgbClr val="FF00FF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Sheet1!$H$6:$H$17</c:f>
              <c:numCache>
                <c:formatCode>General</c:formatCode>
                <c:ptCount val="12"/>
                <c:pt idx="0">
                  <c:v>450</c:v>
                </c:pt>
                <c:pt idx="1">
                  <c:v>650</c:v>
                </c:pt>
                <c:pt idx="2">
                  <c:v>750</c:v>
                </c:pt>
                <c:pt idx="3">
                  <c:v>650</c:v>
                </c:pt>
                <c:pt idx="4">
                  <c:v>480</c:v>
                </c:pt>
                <c:pt idx="5">
                  <c:v>560</c:v>
                </c:pt>
                <c:pt idx="6">
                  <c:v>790</c:v>
                </c:pt>
                <c:pt idx="7">
                  <c:v>670</c:v>
                </c:pt>
                <c:pt idx="8">
                  <c:v>560</c:v>
                </c:pt>
                <c:pt idx="9">
                  <c:v>730</c:v>
                </c:pt>
                <c:pt idx="10">
                  <c:v>640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39-4511-B61F-9C7EAB08B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723455"/>
        <c:axId val="322490543"/>
      </c:barChart>
      <c:catAx>
        <c:axId val="24772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22490543"/>
        <c:crosses val="autoZero"/>
        <c:auto val="1"/>
        <c:lblAlgn val="ctr"/>
        <c:lblOffset val="100"/>
        <c:noMultiLvlLbl val="0"/>
      </c:catAx>
      <c:valAx>
        <c:axId val="3224905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772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390058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Sheet1!$I$6:$I$17</c:f>
              <c:numCache>
                <c:formatCode>General</c:formatCode>
                <c:ptCount val="12"/>
                <c:pt idx="0">
                  <c:v>790</c:v>
                </c:pt>
                <c:pt idx="1">
                  <c:v>670</c:v>
                </c:pt>
                <c:pt idx="2">
                  <c:v>560</c:v>
                </c:pt>
                <c:pt idx="3">
                  <c:v>730</c:v>
                </c:pt>
                <c:pt idx="4">
                  <c:v>750</c:v>
                </c:pt>
                <c:pt idx="5">
                  <c:v>650</c:v>
                </c:pt>
                <c:pt idx="6">
                  <c:v>730</c:v>
                </c:pt>
                <c:pt idx="7">
                  <c:v>640</c:v>
                </c:pt>
                <c:pt idx="8">
                  <c:v>350</c:v>
                </c:pt>
                <c:pt idx="9">
                  <c:v>750</c:v>
                </c:pt>
                <c:pt idx="10">
                  <c:v>650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0-48B3-B5F7-13C071CD9A2F}"/>
            </c:ext>
          </c:extLst>
        </c:ser>
        <c:ser>
          <c:idx val="1"/>
          <c:order val="1"/>
          <c:tx>
            <c:strRef>
              <c:f>Sheet1!$J$5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Sheet1!$J$6:$J$17</c:f>
              <c:numCache>
                <c:formatCode>General</c:formatCode>
                <c:ptCount val="12"/>
                <c:pt idx="0">
                  <c:v>180</c:v>
                </c:pt>
                <c:pt idx="1">
                  <c:v>210</c:v>
                </c:pt>
                <c:pt idx="2">
                  <c:v>230</c:v>
                </c:pt>
                <c:pt idx="3">
                  <c:v>240</c:v>
                </c:pt>
                <c:pt idx="4">
                  <c:v>190</c:v>
                </c:pt>
                <c:pt idx="5">
                  <c:v>170</c:v>
                </c:pt>
                <c:pt idx="6">
                  <c:v>160</c:v>
                </c:pt>
                <c:pt idx="7">
                  <c:v>180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0-48B3-B5F7-13C071CD9A2F}"/>
            </c:ext>
          </c:extLst>
        </c:ser>
        <c:ser>
          <c:idx val="2"/>
          <c:order val="2"/>
          <c:tx>
            <c:strRef>
              <c:f>Sheet1!$K$5</c:f>
              <c:strCache>
                <c:ptCount val="1"/>
                <c:pt idx="0">
                  <c:v>Referral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Sheet1!$K$6:$K$17</c:f>
              <c:numCache>
                <c:formatCode>General</c:formatCode>
                <c:ptCount val="12"/>
                <c:pt idx="0">
                  <c:v>1680</c:v>
                </c:pt>
                <c:pt idx="1">
                  <c:v>1270</c:v>
                </c:pt>
                <c:pt idx="2">
                  <c:v>1360</c:v>
                </c:pt>
                <c:pt idx="3">
                  <c:v>880</c:v>
                </c:pt>
                <c:pt idx="4">
                  <c:v>1780</c:v>
                </c:pt>
                <c:pt idx="5">
                  <c:v>1620</c:v>
                </c:pt>
                <c:pt idx="6">
                  <c:v>1220</c:v>
                </c:pt>
                <c:pt idx="7">
                  <c:v>910</c:v>
                </c:pt>
                <c:pt idx="8">
                  <c:v>1500</c:v>
                </c:pt>
                <c:pt idx="9">
                  <c:v>1790</c:v>
                </c:pt>
                <c:pt idx="10">
                  <c:v>1240</c:v>
                </c:pt>
                <c:pt idx="11">
                  <c:v>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70-48B3-B5F7-13C071CD9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807759"/>
        <c:axId val="322483887"/>
      </c:barChart>
      <c:catAx>
        <c:axId val="58580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22483887"/>
        <c:crosses val="autoZero"/>
        <c:auto val="1"/>
        <c:lblAlgn val="ctr"/>
        <c:lblOffset val="100"/>
        <c:noMultiLvlLbl val="0"/>
      </c:catAx>
      <c:valAx>
        <c:axId val="322483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580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Sheet1!$I$21</c:f>
              <c:strCache>
                <c:ptCount val="1"/>
                <c:pt idx="0">
                  <c:v>Page Views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3900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E7-4EFA-8E96-E2BEF51B1F72}"/>
              </c:ext>
            </c:extLst>
          </c:dPt>
          <c:dPt>
            <c:idx val="1"/>
            <c:bubble3D val="0"/>
            <c:spPr>
              <a:solidFill>
                <a:srgbClr val="FF33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E7-4EFA-8E96-E2BEF51B1F72}"/>
              </c:ext>
            </c:extLst>
          </c:dPt>
          <c:dPt>
            <c:idx val="2"/>
            <c:bubble3D val="0"/>
            <c:spPr>
              <a:solidFill>
                <a:srgbClr val="9966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E7-4EFA-8E96-E2BEF51B1F72}"/>
              </c:ext>
            </c:extLst>
          </c:dPt>
          <c:dPt>
            <c:idx val="3"/>
            <c:bubble3D val="0"/>
            <c:spPr>
              <a:solidFill>
                <a:srgbClr val="FF00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E7-4EFA-8E96-E2BEF51B1F7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E7-4EFA-8E96-E2BEF51B1F7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3E7-4EFA-8E96-E2BEF51B1F72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3E7-4EFA-8E96-E2BEF51B1F72}"/>
              </c:ext>
            </c:extLst>
          </c:dPt>
          <c:dLbls>
            <c:dLbl>
              <c:idx val="0"/>
              <c:layout>
                <c:manualLayout>
                  <c:x val="7.5490193164652108E-2"/>
                  <c:y val="-6.46739268816173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E7-4EFA-8E96-E2BEF51B1F72}"/>
                </c:ext>
              </c:extLst>
            </c:dLbl>
            <c:dLbl>
              <c:idx val="1"/>
              <c:layout>
                <c:manualLayout>
                  <c:x val="4.8039213832051342E-2"/>
                  <c:y val="0.117934807842949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E7-4EFA-8E96-E2BEF51B1F72}"/>
                </c:ext>
              </c:extLst>
            </c:dLbl>
            <c:dLbl>
              <c:idx val="2"/>
              <c:layout>
                <c:manualLayout>
                  <c:x val="6.2907767587977457E-17"/>
                  <c:y val="7.2282624161807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E7-4EFA-8E96-E2BEF51B1F72}"/>
                </c:ext>
              </c:extLst>
            </c:dLbl>
            <c:dLbl>
              <c:idx val="3"/>
              <c:layout>
                <c:manualLayout>
                  <c:x val="-7.5490193164652108E-2"/>
                  <c:y val="6.08695782415222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E7-4EFA-8E96-E2BEF51B1F72}"/>
                </c:ext>
              </c:extLst>
            </c:dLbl>
            <c:dLbl>
              <c:idx val="4"/>
              <c:layout>
                <c:manualLayout>
                  <c:x val="-8.23529379978023E-2"/>
                  <c:y val="3.80434864009513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E7-4EFA-8E96-E2BEF51B1F72}"/>
                </c:ext>
              </c:extLst>
            </c:dLbl>
            <c:dLbl>
              <c:idx val="5"/>
              <c:layout>
                <c:manualLayout>
                  <c:x val="-8.5784310414377396E-2"/>
                  <c:y val="-2.282609184057083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3E7-4EFA-8E96-E2BEF51B1F72}"/>
                </c:ext>
              </c:extLst>
            </c:dLbl>
            <c:dLbl>
              <c:idx val="6"/>
              <c:layout>
                <c:manualLayout>
                  <c:x val="-8.235293799780237E-2"/>
                  <c:y val="-3.8043486400951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3E7-4EFA-8E96-E2BEF51B1F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390058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Sheet1!$H$22:$H$28</c:f>
              <c:strCache>
                <c:ptCount val="7"/>
                <c:pt idx="0">
                  <c:v>Japan</c:v>
                </c:pt>
                <c:pt idx="1">
                  <c:v>India</c:v>
                </c:pt>
                <c:pt idx="2">
                  <c:v>USA</c:v>
                </c:pt>
                <c:pt idx="3">
                  <c:v>Canada</c:v>
                </c:pt>
                <c:pt idx="4">
                  <c:v>Australia</c:v>
                </c:pt>
                <c:pt idx="5">
                  <c:v>Europe</c:v>
                </c:pt>
                <c:pt idx="6">
                  <c:v>Mexico</c:v>
                </c:pt>
              </c:strCache>
            </c:strRef>
          </c:cat>
          <c:val>
            <c:numRef>
              <c:f>Sheet1!$I$22:$I$28</c:f>
              <c:numCache>
                <c:formatCode>General</c:formatCode>
                <c:ptCount val="7"/>
                <c:pt idx="0">
                  <c:v>34000</c:v>
                </c:pt>
                <c:pt idx="1">
                  <c:v>33000</c:v>
                </c:pt>
                <c:pt idx="2">
                  <c:v>25690</c:v>
                </c:pt>
                <c:pt idx="3">
                  <c:v>13750</c:v>
                </c:pt>
                <c:pt idx="4">
                  <c:v>19560</c:v>
                </c:pt>
                <c:pt idx="5">
                  <c:v>17540</c:v>
                </c:pt>
                <c:pt idx="6">
                  <c:v>22340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E7-4EFA-8E96-E2BEF51B1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Visits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FF0000"/>
                  </a:gs>
                  <a:gs pos="100000">
                    <a:srgbClr val="FFC0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Sheet1!$C$6:$C$17</c:f>
              <c:numCache>
                <c:formatCode>General</c:formatCode>
                <c:ptCount val="12"/>
                <c:pt idx="0">
                  <c:v>5500</c:v>
                </c:pt>
                <c:pt idx="1">
                  <c:v>5400</c:v>
                </c:pt>
                <c:pt idx="2">
                  <c:v>5600</c:v>
                </c:pt>
                <c:pt idx="3">
                  <c:v>5700</c:v>
                </c:pt>
                <c:pt idx="4">
                  <c:v>5300</c:v>
                </c:pt>
                <c:pt idx="5">
                  <c:v>5400</c:v>
                </c:pt>
                <c:pt idx="6">
                  <c:v>5500</c:v>
                </c:pt>
                <c:pt idx="7">
                  <c:v>5100</c:v>
                </c:pt>
                <c:pt idx="8">
                  <c:v>5200</c:v>
                </c:pt>
                <c:pt idx="9">
                  <c:v>5800</c:v>
                </c:pt>
                <c:pt idx="10">
                  <c:v>5600</c:v>
                </c:pt>
                <c:pt idx="11">
                  <c:v>5700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1F-4A20-AD6E-94DC7FFEA7AE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Page Views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390058"/>
                  </a:gs>
                  <a:gs pos="100000">
                    <a:srgbClr val="FF00FF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Sheet1!$D$6:$D$17</c:f>
              <c:numCache>
                <c:formatCode>General</c:formatCode>
                <c:ptCount val="12"/>
                <c:pt idx="0">
                  <c:v>8390</c:v>
                </c:pt>
                <c:pt idx="1">
                  <c:v>8290</c:v>
                </c:pt>
                <c:pt idx="2">
                  <c:v>8490</c:v>
                </c:pt>
                <c:pt idx="3">
                  <c:v>8590</c:v>
                </c:pt>
                <c:pt idx="4">
                  <c:v>8190</c:v>
                </c:pt>
                <c:pt idx="5">
                  <c:v>8290</c:v>
                </c:pt>
                <c:pt idx="6">
                  <c:v>8390</c:v>
                </c:pt>
                <c:pt idx="7">
                  <c:v>7990</c:v>
                </c:pt>
                <c:pt idx="8">
                  <c:v>8090</c:v>
                </c:pt>
                <c:pt idx="9">
                  <c:v>8690</c:v>
                </c:pt>
                <c:pt idx="10">
                  <c:v>8490</c:v>
                </c:pt>
                <c:pt idx="11">
                  <c:v>8590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1F-4A20-AD6E-94DC7FFEA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33551"/>
        <c:axId val="316114111"/>
      </c:lineChart>
      <c:catAx>
        <c:axId val="25753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16114111"/>
        <c:crosses val="autoZero"/>
        <c:auto val="1"/>
        <c:lblAlgn val="ctr"/>
        <c:lblOffset val="100"/>
        <c:noMultiLvlLbl val="0"/>
      </c:catAx>
      <c:valAx>
        <c:axId val="3161141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753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Bounce Rate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FF3300"/>
                  </a:gs>
                  <a:gs pos="100000">
                    <a:srgbClr val="FFC0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Sheet1!$E$6:$E$17</c:f>
              <c:numCache>
                <c:formatCode>0%</c:formatCode>
                <c:ptCount val="12"/>
                <c:pt idx="0">
                  <c:v>0.5</c:v>
                </c:pt>
                <c:pt idx="1">
                  <c:v>0.45</c:v>
                </c:pt>
                <c:pt idx="2">
                  <c:v>0.43</c:v>
                </c:pt>
                <c:pt idx="3">
                  <c:v>0.45</c:v>
                </c:pt>
                <c:pt idx="4">
                  <c:v>0.46</c:v>
                </c:pt>
                <c:pt idx="5">
                  <c:v>0.5</c:v>
                </c:pt>
                <c:pt idx="6">
                  <c:v>0.45</c:v>
                </c:pt>
                <c:pt idx="7">
                  <c:v>0.53</c:v>
                </c:pt>
                <c:pt idx="8">
                  <c:v>0.45</c:v>
                </c:pt>
                <c:pt idx="9">
                  <c:v>0.39</c:v>
                </c:pt>
                <c:pt idx="10">
                  <c:v>0.48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CA-4036-8E66-C1AD67CE5F81}"/>
            </c:ext>
          </c:extLst>
        </c:ser>
        <c:ser>
          <c:idx val="1"/>
          <c:order val="1"/>
          <c:tx>
            <c:strRef>
              <c:f>Sheet1!$F$5</c:f>
              <c:strCache>
                <c:ptCount val="1"/>
                <c:pt idx="0">
                  <c:v>Exit Rate</c:v>
                </c:pt>
              </c:strCache>
            </c:strRef>
          </c:tx>
          <c:spPr>
            <a:ln w="44450" cap="rnd">
              <a:gradFill flip="none" rotWithShape="1">
                <a:gsLst>
                  <a:gs pos="0">
                    <a:srgbClr val="390058"/>
                  </a:gs>
                  <a:gs pos="100000">
                    <a:srgbClr val="FF3300"/>
                  </a:gs>
                </a:gsLst>
                <a:lin ang="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Sheet1!$F$6:$F$17</c:f>
              <c:numCache>
                <c:formatCode>0%</c:formatCode>
                <c:ptCount val="12"/>
                <c:pt idx="0">
                  <c:v>0.39</c:v>
                </c:pt>
                <c:pt idx="1">
                  <c:v>0.48</c:v>
                </c:pt>
                <c:pt idx="2">
                  <c:v>0.46</c:v>
                </c:pt>
                <c:pt idx="3">
                  <c:v>0.45</c:v>
                </c:pt>
                <c:pt idx="4">
                  <c:v>0.53</c:v>
                </c:pt>
                <c:pt idx="5">
                  <c:v>0.45</c:v>
                </c:pt>
                <c:pt idx="6">
                  <c:v>0.43</c:v>
                </c:pt>
                <c:pt idx="7">
                  <c:v>0.45</c:v>
                </c:pt>
                <c:pt idx="8">
                  <c:v>0.46</c:v>
                </c:pt>
                <c:pt idx="9">
                  <c:v>0.5</c:v>
                </c:pt>
                <c:pt idx="10">
                  <c:v>0.45</c:v>
                </c:pt>
                <c:pt idx="11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DCA-4036-8E66-C1AD67CE5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663423"/>
        <c:axId val="316102047"/>
      </c:lineChart>
      <c:catAx>
        <c:axId val="31966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16102047"/>
        <c:crosses val="autoZero"/>
        <c:auto val="1"/>
        <c:lblAlgn val="ctr"/>
        <c:lblOffset val="100"/>
        <c:noMultiLvlLbl val="0"/>
      </c:catAx>
      <c:valAx>
        <c:axId val="31610204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1966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Organic Traffic</c:v>
                </c:pt>
              </c:strCache>
            </c:strRef>
          </c:tx>
          <c:spPr>
            <a:gradFill flip="none" rotWithShape="1">
              <a:gsLst>
                <a:gs pos="0">
                  <a:srgbClr val="390058"/>
                </a:gs>
                <a:gs pos="100000">
                  <a:srgbClr val="9966FF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Sheet1!$G$6:$G$17</c:f>
              <c:numCache>
                <c:formatCode>General</c:formatCode>
                <c:ptCount val="12"/>
                <c:pt idx="0">
                  <c:v>2400</c:v>
                </c:pt>
                <c:pt idx="1">
                  <c:v>2600</c:v>
                </c:pt>
                <c:pt idx="2">
                  <c:v>2700</c:v>
                </c:pt>
                <c:pt idx="3">
                  <c:v>3200</c:v>
                </c:pt>
                <c:pt idx="4">
                  <c:v>2100</c:v>
                </c:pt>
                <c:pt idx="5">
                  <c:v>2400</c:v>
                </c:pt>
                <c:pt idx="6">
                  <c:v>2600</c:v>
                </c:pt>
                <c:pt idx="7">
                  <c:v>2700</c:v>
                </c:pt>
                <c:pt idx="8">
                  <c:v>2600</c:v>
                </c:pt>
                <c:pt idx="9">
                  <c:v>2300</c:v>
                </c:pt>
                <c:pt idx="10">
                  <c:v>2800</c:v>
                </c:pt>
                <c:pt idx="11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0-4B26-BF67-E823D0BB9D2A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Paid Traffic</c:v>
                </c:pt>
              </c:strCache>
            </c:strRef>
          </c:tx>
          <c:spPr>
            <a:gradFill flip="none" rotWithShape="1">
              <a:gsLst>
                <a:gs pos="0">
                  <a:srgbClr val="FF3300"/>
                </a:gs>
                <a:gs pos="100000">
                  <a:srgbClr val="FF00FF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Sheet1!$H$6:$H$17</c:f>
              <c:numCache>
                <c:formatCode>General</c:formatCode>
                <c:ptCount val="12"/>
                <c:pt idx="0">
                  <c:v>450</c:v>
                </c:pt>
                <c:pt idx="1">
                  <c:v>650</c:v>
                </c:pt>
                <c:pt idx="2">
                  <c:v>750</c:v>
                </c:pt>
                <c:pt idx="3">
                  <c:v>650</c:v>
                </c:pt>
                <c:pt idx="4">
                  <c:v>480</c:v>
                </c:pt>
                <c:pt idx="5">
                  <c:v>560</c:v>
                </c:pt>
                <c:pt idx="6">
                  <c:v>790</c:v>
                </c:pt>
                <c:pt idx="7">
                  <c:v>670</c:v>
                </c:pt>
                <c:pt idx="8">
                  <c:v>560</c:v>
                </c:pt>
                <c:pt idx="9">
                  <c:v>730</c:v>
                </c:pt>
                <c:pt idx="10">
                  <c:v>640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0-4B26-BF67-E823D0BB9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723455"/>
        <c:axId val="322490543"/>
      </c:barChart>
      <c:catAx>
        <c:axId val="24772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uk-UA"/>
          </a:p>
        </c:txPr>
        <c:crossAx val="322490543"/>
        <c:crosses val="autoZero"/>
        <c:auto val="1"/>
        <c:lblAlgn val="ctr"/>
        <c:lblOffset val="100"/>
        <c:noMultiLvlLbl val="0"/>
      </c:catAx>
      <c:valAx>
        <c:axId val="3224905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772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6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Sheet1!$I$5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390058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Sheet1!$I$6:$I$17</c:f>
              <c:numCache>
                <c:formatCode>General</c:formatCode>
                <c:ptCount val="12"/>
                <c:pt idx="0">
                  <c:v>790</c:v>
                </c:pt>
                <c:pt idx="1">
                  <c:v>670</c:v>
                </c:pt>
                <c:pt idx="2">
                  <c:v>560</c:v>
                </c:pt>
                <c:pt idx="3">
                  <c:v>730</c:v>
                </c:pt>
                <c:pt idx="4">
                  <c:v>750</c:v>
                </c:pt>
                <c:pt idx="5">
                  <c:v>650</c:v>
                </c:pt>
                <c:pt idx="6">
                  <c:v>730</c:v>
                </c:pt>
                <c:pt idx="7">
                  <c:v>640</c:v>
                </c:pt>
                <c:pt idx="8">
                  <c:v>350</c:v>
                </c:pt>
                <c:pt idx="9">
                  <c:v>750</c:v>
                </c:pt>
                <c:pt idx="10">
                  <c:v>650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C-4010-BCE4-E494486D47EA}"/>
            </c:ext>
          </c:extLst>
        </c:ser>
        <c:ser>
          <c:idx val="1"/>
          <c:order val="1"/>
          <c:tx>
            <c:strRef>
              <c:f>Sheet1!$J$5</c:f>
              <c:strCache>
                <c:ptCount val="1"/>
                <c:pt idx="0">
                  <c:v>Social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Sheet1!$J$6:$J$17</c:f>
              <c:numCache>
                <c:formatCode>General</c:formatCode>
                <c:ptCount val="12"/>
                <c:pt idx="0">
                  <c:v>180</c:v>
                </c:pt>
                <c:pt idx="1">
                  <c:v>210</c:v>
                </c:pt>
                <c:pt idx="2">
                  <c:v>230</c:v>
                </c:pt>
                <c:pt idx="3">
                  <c:v>240</c:v>
                </c:pt>
                <c:pt idx="4">
                  <c:v>190</c:v>
                </c:pt>
                <c:pt idx="5">
                  <c:v>170</c:v>
                </c:pt>
                <c:pt idx="6">
                  <c:v>160</c:v>
                </c:pt>
                <c:pt idx="7">
                  <c:v>180</c:v>
                </c:pt>
                <c:pt idx="8">
                  <c:v>190</c:v>
                </c:pt>
                <c:pt idx="9">
                  <c:v>230</c:v>
                </c:pt>
                <c:pt idx="10">
                  <c:v>270</c:v>
                </c:pt>
                <c:pt idx="1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3C-4010-BCE4-E494486D47EA}"/>
            </c:ext>
          </c:extLst>
        </c:ser>
        <c:ser>
          <c:idx val="2"/>
          <c:order val="2"/>
          <c:tx>
            <c:strRef>
              <c:f>Sheet1!$K$5</c:f>
              <c:strCache>
                <c:ptCount val="1"/>
                <c:pt idx="0">
                  <c:v>Referral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Sheet1!$B$6:$B$17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Sheet1!$K$6:$K$17</c:f>
              <c:numCache>
                <c:formatCode>General</c:formatCode>
                <c:ptCount val="12"/>
                <c:pt idx="0">
                  <c:v>1680</c:v>
                </c:pt>
                <c:pt idx="1">
                  <c:v>1270</c:v>
                </c:pt>
                <c:pt idx="2">
                  <c:v>1360</c:v>
                </c:pt>
                <c:pt idx="3">
                  <c:v>880</c:v>
                </c:pt>
                <c:pt idx="4">
                  <c:v>1780</c:v>
                </c:pt>
                <c:pt idx="5">
                  <c:v>1620</c:v>
                </c:pt>
                <c:pt idx="6">
                  <c:v>1220</c:v>
                </c:pt>
                <c:pt idx="7">
                  <c:v>910</c:v>
                </c:pt>
                <c:pt idx="8">
                  <c:v>1500</c:v>
                </c:pt>
                <c:pt idx="9">
                  <c:v>1790</c:v>
                </c:pt>
                <c:pt idx="10">
                  <c:v>1240</c:v>
                </c:pt>
                <c:pt idx="11">
                  <c:v>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3C-4010-BCE4-E494486D4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5807759"/>
        <c:axId val="322483887"/>
      </c:barChart>
      <c:catAx>
        <c:axId val="58580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22483887"/>
        <c:crosses val="autoZero"/>
        <c:auto val="1"/>
        <c:lblAlgn val="ctr"/>
        <c:lblOffset val="100"/>
        <c:noMultiLvlLbl val="0"/>
      </c:catAx>
      <c:valAx>
        <c:axId val="322483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580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Sheet1!$I$21</c:f>
              <c:strCache>
                <c:ptCount val="1"/>
                <c:pt idx="0">
                  <c:v>Page Views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39005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06-44B7-BBE3-5B6DDD732233}"/>
              </c:ext>
            </c:extLst>
          </c:dPt>
          <c:dPt>
            <c:idx val="1"/>
            <c:bubble3D val="0"/>
            <c:spPr>
              <a:solidFill>
                <a:srgbClr val="FF33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06-44B7-BBE3-5B6DDD732233}"/>
              </c:ext>
            </c:extLst>
          </c:dPt>
          <c:dPt>
            <c:idx val="2"/>
            <c:bubble3D val="0"/>
            <c:spPr>
              <a:solidFill>
                <a:srgbClr val="9966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06-44B7-BBE3-5B6DDD732233}"/>
              </c:ext>
            </c:extLst>
          </c:dPt>
          <c:dPt>
            <c:idx val="3"/>
            <c:bubble3D val="0"/>
            <c:spPr>
              <a:solidFill>
                <a:srgbClr val="FF00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706-44B7-BBE3-5B6DDD73223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706-44B7-BBE3-5B6DDD732233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706-44B7-BBE3-5B6DDD732233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706-44B7-BBE3-5B6DDD732233}"/>
              </c:ext>
            </c:extLst>
          </c:dPt>
          <c:dLbls>
            <c:dLbl>
              <c:idx val="0"/>
              <c:layout>
                <c:manualLayout>
                  <c:x val="7.5490193164652108E-2"/>
                  <c:y val="-6.46739268816173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06-44B7-BBE3-5B6DDD732233}"/>
                </c:ext>
              </c:extLst>
            </c:dLbl>
            <c:dLbl>
              <c:idx val="1"/>
              <c:layout>
                <c:manualLayout>
                  <c:x val="4.8039213832051342E-2"/>
                  <c:y val="0.117934807842949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06-44B7-BBE3-5B6DDD732233}"/>
                </c:ext>
              </c:extLst>
            </c:dLbl>
            <c:dLbl>
              <c:idx val="2"/>
              <c:layout>
                <c:manualLayout>
                  <c:x val="6.2907767587977457E-17"/>
                  <c:y val="7.2282624161807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06-44B7-BBE3-5B6DDD732233}"/>
                </c:ext>
              </c:extLst>
            </c:dLbl>
            <c:dLbl>
              <c:idx val="3"/>
              <c:layout>
                <c:manualLayout>
                  <c:x val="-7.5490193164652108E-2"/>
                  <c:y val="6.08695782415222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706-44B7-BBE3-5B6DDD732233}"/>
                </c:ext>
              </c:extLst>
            </c:dLbl>
            <c:dLbl>
              <c:idx val="4"/>
              <c:layout>
                <c:manualLayout>
                  <c:x val="-8.23529379978023E-2"/>
                  <c:y val="3.80434864009513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706-44B7-BBE3-5B6DDD732233}"/>
                </c:ext>
              </c:extLst>
            </c:dLbl>
            <c:dLbl>
              <c:idx val="5"/>
              <c:layout>
                <c:manualLayout>
                  <c:x val="-8.5784310414377396E-2"/>
                  <c:y val="-2.282609184057083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706-44B7-BBE3-5B6DDD732233}"/>
                </c:ext>
              </c:extLst>
            </c:dLbl>
            <c:dLbl>
              <c:idx val="6"/>
              <c:layout>
                <c:manualLayout>
                  <c:x val="-8.235293799780237E-2"/>
                  <c:y val="-3.8043486400951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706-44B7-BBE3-5B6DDD7322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390058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Sheet1!$H$22:$H$28</c:f>
              <c:strCache>
                <c:ptCount val="7"/>
                <c:pt idx="0">
                  <c:v>Japan</c:v>
                </c:pt>
                <c:pt idx="1">
                  <c:v>India</c:v>
                </c:pt>
                <c:pt idx="2">
                  <c:v>USA</c:v>
                </c:pt>
                <c:pt idx="3">
                  <c:v>Canada</c:v>
                </c:pt>
                <c:pt idx="4">
                  <c:v>Australia</c:v>
                </c:pt>
                <c:pt idx="5">
                  <c:v>Europe</c:v>
                </c:pt>
                <c:pt idx="6">
                  <c:v>Mexico</c:v>
                </c:pt>
              </c:strCache>
            </c:strRef>
          </c:cat>
          <c:val>
            <c:numRef>
              <c:f>Sheet1!$I$22:$I$28</c:f>
              <c:numCache>
                <c:formatCode>General</c:formatCode>
                <c:ptCount val="7"/>
                <c:pt idx="0">
                  <c:v>34000</c:v>
                </c:pt>
                <c:pt idx="1">
                  <c:v>33000</c:v>
                </c:pt>
                <c:pt idx="2">
                  <c:v>25690</c:v>
                </c:pt>
                <c:pt idx="3">
                  <c:v>13750</c:v>
                </c:pt>
                <c:pt idx="4">
                  <c:v>19560</c:v>
                </c:pt>
                <c:pt idx="5">
                  <c:v>17540</c:v>
                </c:pt>
                <c:pt idx="6">
                  <c:v>22340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706-44B7-BBE3-5B6DDD732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Montserrat" panose="00000500000000000000" pitchFamily="2" charset="0"/>
        </a:defRPr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Tab 1'!A1"/><Relationship Id="rId18" Type="http://schemas.openxmlformats.org/officeDocument/2006/relationships/chart" Target="../charts/chart3.xml"/><Relationship Id="rId26" Type="http://schemas.openxmlformats.org/officeDocument/2006/relationships/image" Target="../media/image16.svg"/><Relationship Id="rId3" Type="http://schemas.openxmlformats.org/officeDocument/2006/relationships/image" Target="../media/image2.svg"/><Relationship Id="rId21" Type="http://schemas.openxmlformats.org/officeDocument/2006/relationships/image" Target="../media/image11.png"/><Relationship Id="rId7" Type="http://schemas.openxmlformats.org/officeDocument/2006/relationships/hyperlink" Target="#'Tab 4'!A1"/><Relationship Id="rId12" Type="http://schemas.openxmlformats.org/officeDocument/2006/relationships/image" Target="../media/image8.svg"/><Relationship Id="rId17" Type="http://schemas.openxmlformats.org/officeDocument/2006/relationships/chart" Target="../charts/chart2.xml"/><Relationship Id="rId25" Type="http://schemas.openxmlformats.org/officeDocument/2006/relationships/image" Target="../media/image15.png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'Tab 3'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24" Type="http://schemas.openxmlformats.org/officeDocument/2006/relationships/image" Target="../media/image14.sv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23" Type="http://schemas.openxmlformats.org/officeDocument/2006/relationships/image" Target="../media/image13.png"/><Relationship Id="rId10" Type="http://schemas.openxmlformats.org/officeDocument/2006/relationships/hyperlink" Target="#'Tab 2'!A1"/><Relationship Id="rId19" Type="http://schemas.openxmlformats.org/officeDocument/2006/relationships/chart" Target="../charts/chart4.xml"/><Relationship Id="rId4" Type="http://schemas.openxmlformats.org/officeDocument/2006/relationships/hyperlink" Target="#'Tab 5'!A1"/><Relationship Id="rId9" Type="http://schemas.openxmlformats.org/officeDocument/2006/relationships/image" Target="../media/image6.svg"/><Relationship Id="rId14" Type="http://schemas.openxmlformats.org/officeDocument/2006/relationships/image" Target="../media/image9.png"/><Relationship Id="rId22" Type="http://schemas.openxmlformats.org/officeDocument/2006/relationships/image" Target="../media/image1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Tab 1'!A1"/><Relationship Id="rId18" Type="http://schemas.openxmlformats.org/officeDocument/2006/relationships/chart" Target="../charts/chart8.xml"/><Relationship Id="rId26" Type="http://schemas.openxmlformats.org/officeDocument/2006/relationships/image" Target="../media/image16.svg"/><Relationship Id="rId3" Type="http://schemas.openxmlformats.org/officeDocument/2006/relationships/image" Target="../media/image2.svg"/><Relationship Id="rId21" Type="http://schemas.openxmlformats.org/officeDocument/2006/relationships/image" Target="../media/image11.png"/><Relationship Id="rId7" Type="http://schemas.openxmlformats.org/officeDocument/2006/relationships/hyperlink" Target="#'Tab 4'!A1"/><Relationship Id="rId12" Type="http://schemas.openxmlformats.org/officeDocument/2006/relationships/image" Target="../media/image8.svg"/><Relationship Id="rId17" Type="http://schemas.openxmlformats.org/officeDocument/2006/relationships/chart" Target="../charts/chart7.xml"/><Relationship Id="rId25" Type="http://schemas.openxmlformats.org/officeDocument/2006/relationships/image" Target="../media/image15.png"/><Relationship Id="rId2" Type="http://schemas.openxmlformats.org/officeDocument/2006/relationships/image" Target="../media/image1.png"/><Relationship Id="rId16" Type="http://schemas.openxmlformats.org/officeDocument/2006/relationships/chart" Target="../charts/chart6.xml"/><Relationship Id="rId20" Type="http://schemas.openxmlformats.org/officeDocument/2006/relationships/chart" Target="../charts/chart10.xml"/><Relationship Id="rId1" Type="http://schemas.openxmlformats.org/officeDocument/2006/relationships/hyperlink" Target="#'Tab 3'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24" Type="http://schemas.openxmlformats.org/officeDocument/2006/relationships/image" Target="../media/image14.sv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23" Type="http://schemas.openxmlformats.org/officeDocument/2006/relationships/image" Target="../media/image13.png"/><Relationship Id="rId10" Type="http://schemas.openxmlformats.org/officeDocument/2006/relationships/hyperlink" Target="#'Tab 2'!A1"/><Relationship Id="rId19" Type="http://schemas.openxmlformats.org/officeDocument/2006/relationships/chart" Target="../charts/chart9.xml"/><Relationship Id="rId4" Type="http://schemas.openxmlformats.org/officeDocument/2006/relationships/hyperlink" Target="#'Tab 5'!A1"/><Relationship Id="rId9" Type="http://schemas.openxmlformats.org/officeDocument/2006/relationships/image" Target="../media/image6.svg"/><Relationship Id="rId14" Type="http://schemas.openxmlformats.org/officeDocument/2006/relationships/image" Target="../media/image9.png"/><Relationship Id="rId22" Type="http://schemas.openxmlformats.org/officeDocument/2006/relationships/image" Target="../media/image12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Tab 1'!A1"/><Relationship Id="rId18" Type="http://schemas.openxmlformats.org/officeDocument/2006/relationships/chart" Target="../charts/chart13.xml"/><Relationship Id="rId26" Type="http://schemas.openxmlformats.org/officeDocument/2006/relationships/image" Target="../media/image16.svg"/><Relationship Id="rId3" Type="http://schemas.openxmlformats.org/officeDocument/2006/relationships/image" Target="../media/image2.svg"/><Relationship Id="rId21" Type="http://schemas.openxmlformats.org/officeDocument/2006/relationships/image" Target="../media/image11.png"/><Relationship Id="rId7" Type="http://schemas.openxmlformats.org/officeDocument/2006/relationships/hyperlink" Target="#'Tab 4'!A1"/><Relationship Id="rId12" Type="http://schemas.openxmlformats.org/officeDocument/2006/relationships/image" Target="../media/image8.svg"/><Relationship Id="rId17" Type="http://schemas.openxmlformats.org/officeDocument/2006/relationships/chart" Target="../charts/chart12.xml"/><Relationship Id="rId25" Type="http://schemas.openxmlformats.org/officeDocument/2006/relationships/image" Target="../media/image15.png"/><Relationship Id="rId2" Type="http://schemas.openxmlformats.org/officeDocument/2006/relationships/image" Target="../media/image1.png"/><Relationship Id="rId16" Type="http://schemas.openxmlformats.org/officeDocument/2006/relationships/chart" Target="../charts/chart11.xml"/><Relationship Id="rId20" Type="http://schemas.openxmlformats.org/officeDocument/2006/relationships/chart" Target="../charts/chart15.xml"/><Relationship Id="rId1" Type="http://schemas.openxmlformats.org/officeDocument/2006/relationships/hyperlink" Target="#'Tab 3'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24" Type="http://schemas.openxmlformats.org/officeDocument/2006/relationships/image" Target="../media/image14.sv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23" Type="http://schemas.openxmlformats.org/officeDocument/2006/relationships/image" Target="../media/image13.png"/><Relationship Id="rId10" Type="http://schemas.openxmlformats.org/officeDocument/2006/relationships/hyperlink" Target="#'Tab 2'!A1"/><Relationship Id="rId19" Type="http://schemas.openxmlformats.org/officeDocument/2006/relationships/chart" Target="../charts/chart14.xml"/><Relationship Id="rId4" Type="http://schemas.openxmlformats.org/officeDocument/2006/relationships/hyperlink" Target="#'Tab 5'!A1"/><Relationship Id="rId9" Type="http://schemas.openxmlformats.org/officeDocument/2006/relationships/image" Target="../media/image6.svg"/><Relationship Id="rId14" Type="http://schemas.openxmlformats.org/officeDocument/2006/relationships/image" Target="../media/image9.png"/><Relationship Id="rId22" Type="http://schemas.openxmlformats.org/officeDocument/2006/relationships/image" Target="../media/image12.sv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Tab 1'!A1"/><Relationship Id="rId18" Type="http://schemas.openxmlformats.org/officeDocument/2006/relationships/chart" Target="../charts/chart18.xml"/><Relationship Id="rId26" Type="http://schemas.openxmlformats.org/officeDocument/2006/relationships/image" Target="../media/image16.svg"/><Relationship Id="rId3" Type="http://schemas.openxmlformats.org/officeDocument/2006/relationships/image" Target="../media/image2.svg"/><Relationship Id="rId21" Type="http://schemas.openxmlformats.org/officeDocument/2006/relationships/image" Target="../media/image11.png"/><Relationship Id="rId7" Type="http://schemas.openxmlformats.org/officeDocument/2006/relationships/hyperlink" Target="#'Tab 4'!A1"/><Relationship Id="rId12" Type="http://schemas.openxmlformats.org/officeDocument/2006/relationships/image" Target="../media/image8.svg"/><Relationship Id="rId17" Type="http://schemas.openxmlformats.org/officeDocument/2006/relationships/chart" Target="../charts/chart17.xml"/><Relationship Id="rId25" Type="http://schemas.openxmlformats.org/officeDocument/2006/relationships/image" Target="../media/image15.png"/><Relationship Id="rId2" Type="http://schemas.openxmlformats.org/officeDocument/2006/relationships/image" Target="../media/image1.png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hyperlink" Target="#'Tab 3'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24" Type="http://schemas.openxmlformats.org/officeDocument/2006/relationships/image" Target="../media/image14.sv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23" Type="http://schemas.openxmlformats.org/officeDocument/2006/relationships/image" Target="../media/image13.png"/><Relationship Id="rId10" Type="http://schemas.openxmlformats.org/officeDocument/2006/relationships/hyperlink" Target="#'Tab 2'!A1"/><Relationship Id="rId19" Type="http://schemas.openxmlformats.org/officeDocument/2006/relationships/chart" Target="../charts/chart19.xml"/><Relationship Id="rId4" Type="http://schemas.openxmlformats.org/officeDocument/2006/relationships/hyperlink" Target="#'Tab 5'!A1"/><Relationship Id="rId9" Type="http://schemas.openxmlformats.org/officeDocument/2006/relationships/image" Target="../media/image6.svg"/><Relationship Id="rId14" Type="http://schemas.openxmlformats.org/officeDocument/2006/relationships/image" Target="../media/image9.png"/><Relationship Id="rId22" Type="http://schemas.openxmlformats.org/officeDocument/2006/relationships/image" Target="../media/image12.sv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Tab 1'!A1"/><Relationship Id="rId18" Type="http://schemas.openxmlformats.org/officeDocument/2006/relationships/chart" Target="../charts/chart23.xml"/><Relationship Id="rId26" Type="http://schemas.openxmlformats.org/officeDocument/2006/relationships/image" Target="../media/image16.svg"/><Relationship Id="rId3" Type="http://schemas.openxmlformats.org/officeDocument/2006/relationships/image" Target="../media/image2.svg"/><Relationship Id="rId21" Type="http://schemas.openxmlformats.org/officeDocument/2006/relationships/image" Target="../media/image11.png"/><Relationship Id="rId7" Type="http://schemas.openxmlformats.org/officeDocument/2006/relationships/hyperlink" Target="#'Tab 4'!A1"/><Relationship Id="rId12" Type="http://schemas.openxmlformats.org/officeDocument/2006/relationships/image" Target="../media/image8.svg"/><Relationship Id="rId17" Type="http://schemas.openxmlformats.org/officeDocument/2006/relationships/chart" Target="../charts/chart22.xml"/><Relationship Id="rId25" Type="http://schemas.openxmlformats.org/officeDocument/2006/relationships/image" Target="../media/image15.png"/><Relationship Id="rId2" Type="http://schemas.openxmlformats.org/officeDocument/2006/relationships/image" Target="../media/image1.png"/><Relationship Id="rId16" Type="http://schemas.openxmlformats.org/officeDocument/2006/relationships/chart" Target="../charts/chart21.xml"/><Relationship Id="rId20" Type="http://schemas.openxmlformats.org/officeDocument/2006/relationships/chart" Target="../charts/chart25.xml"/><Relationship Id="rId1" Type="http://schemas.openxmlformats.org/officeDocument/2006/relationships/hyperlink" Target="#'Tab 3'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24" Type="http://schemas.openxmlformats.org/officeDocument/2006/relationships/image" Target="../media/image14.sv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23" Type="http://schemas.openxmlformats.org/officeDocument/2006/relationships/image" Target="../media/image13.png"/><Relationship Id="rId10" Type="http://schemas.openxmlformats.org/officeDocument/2006/relationships/hyperlink" Target="#'Tab 2'!A1"/><Relationship Id="rId19" Type="http://schemas.openxmlformats.org/officeDocument/2006/relationships/chart" Target="../charts/chart24.xml"/><Relationship Id="rId4" Type="http://schemas.openxmlformats.org/officeDocument/2006/relationships/hyperlink" Target="#'Tab 5'!A1"/><Relationship Id="rId9" Type="http://schemas.openxmlformats.org/officeDocument/2006/relationships/image" Target="../media/image6.svg"/><Relationship Id="rId14" Type="http://schemas.openxmlformats.org/officeDocument/2006/relationships/image" Target="../media/image9.png"/><Relationship Id="rId22" Type="http://schemas.openxmlformats.org/officeDocument/2006/relationships/image" Target="../media/image12.sv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hyperlink" Target="#'Tab 5'!A1"/><Relationship Id="rId18" Type="http://schemas.openxmlformats.org/officeDocument/2006/relationships/chart" Target="../charts/chart28.xml"/><Relationship Id="rId26" Type="http://schemas.openxmlformats.org/officeDocument/2006/relationships/image" Target="../media/image32.svg"/><Relationship Id="rId3" Type="http://schemas.openxmlformats.org/officeDocument/2006/relationships/image" Target="../media/image18.svg"/><Relationship Id="rId21" Type="http://schemas.openxmlformats.org/officeDocument/2006/relationships/image" Target="../media/image27.png"/><Relationship Id="rId7" Type="http://schemas.openxmlformats.org/officeDocument/2006/relationships/hyperlink" Target="#'Tab 3'!A1"/><Relationship Id="rId12" Type="http://schemas.openxmlformats.org/officeDocument/2006/relationships/image" Target="../media/image24.svg"/><Relationship Id="rId17" Type="http://schemas.openxmlformats.org/officeDocument/2006/relationships/chart" Target="../charts/chart27.xml"/><Relationship Id="rId25" Type="http://schemas.openxmlformats.org/officeDocument/2006/relationships/image" Target="../media/image31.png"/><Relationship Id="rId2" Type="http://schemas.openxmlformats.org/officeDocument/2006/relationships/image" Target="../media/image17.png"/><Relationship Id="rId16" Type="http://schemas.openxmlformats.org/officeDocument/2006/relationships/chart" Target="../charts/chart26.xml"/><Relationship Id="rId20" Type="http://schemas.openxmlformats.org/officeDocument/2006/relationships/chart" Target="../charts/chart30.xml"/><Relationship Id="rId1" Type="http://schemas.openxmlformats.org/officeDocument/2006/relationships/hyperlink" Target="#'Tab 1'!A1"/><Relationship Id="rId6" Type="http://schemas.openxmlformats.org/officeDocument/2006/relationships/image" Target="../media/image20.svg"/><Relationship Id="rId11" Type="http://schemas.openxmlformats.org/officeDocument/2006/relationships/image" Target="../media/image23.png"/><Relationship Id="rId24" Type="http://schemas.openxmlformats.org/officeDocument/2006/relationships/image" Target="../media/image30.svg"/><Relationship Id="rId5" Type="http://schemas.openxmlformats.org/officeDocument/2006/relationships/image" Target="../media/image19.png"/><Relationship Id="rId15" Type="http://schemas.openxmlformats.org/officeDocument/2006/relationships/image" Target="../media/image26.svg"/><Relationship Id="rId23" Type="http://schemas.openxmlformats.org/officeDocument/2006/relationships/image" Target="../media/image29.png"/><Relationship Id="rId10" Type="http://schemas.openxmlformats.org/officeDocument/2006/relationships/hyperlink" Target="#'Tab 4'!A1"/><Relationship Id="rId19" Type="http://schemas.openxmlformats.org/officeDocument/2006/relationships/chart" Target="../charts/chart29.xml"/><Relationship Id="rId4" Type="http://schemas.openxmlformats.org/officeDocument/2006/relationships/hyperlink" Target="#'Tab 2'!A1"/><Relationship Id="rId9" Type="http://schemas.openxmlformats.org/officeDocument/2006/relationships/image" Target="../media/image22.svg"/><Relationship Id="rId14" Type="http://schemas.openxmlformats.org/officeDocument/2006/relationships/image" Target="../media/image25.png"/><Relationship Id="rId22" Type="http://schemas.openxmlformats.org/officeDocument/2006/relationships/image" Target="../media/image28.sv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hyperlink" Target="#'Tab 5'!A1"/><Relationship Id="rId18" Type="http://schemas.openxmlformats.org/officeDocument/2006/relationships/chart" Target="../charts/chart33.xml"/><Relationship Id="rId26" Type="http://schemas.openxmlformats.org/officeDocument/2006/relationships/image" Target="../media/image32.svg"/><Relationship Id="rId3" Type="http://schemas.openxmlformats.org/officeDocument/2006/relationships/image" Target="../media/image34.svg"/><Relationship Id="rId21" Type="http://schemas.openxmlformats.org/officeDocument/2006/relationships/image" Target="../media/image27.png"/><Relationship Id="rId7" Type="http://schemas.openxmlformats.org/officeDocument/2006/relationships/hyperlink" Target="#'Tab 3'!A1"/><Relationship Id="rId12" Type="http://schemas.openxmlformats.org/officeDocument/2006/relationships/image" Target="../media/image24.svg"/><Relationship Id="rId17" Type="http://schemas.openxmlformats.org/officeDocument/2006/relationships/chart" Target="../charts/chart32.xml"/><Relationship Id="rId25" Type="http://schemas.openxmlformats.org/officeDocument/2006/relationships/image" Target="../media/image31.png"/><Relationship Id="rId2" Type="http://schemas.openxmlformats.org/officeDocument/2006/relationships/image" Target="../media/image33.png"/><Relationship Id="rId16" Type="http://schemas.openxmlformats.org/officeDocument/2006/relationships/chart" Target="../charts/chart31.xml"/><Relationship Id="rId20" Type="http://schemas.openxmlformats.org/officeDocument/2006/relationships/chart" Target="../charts/chart35.xml"/><Relationship Id="rId1" Type="http://schemas.openxmlformats.org/officeDocument/2006/relationships/hyperlink" Target="#'Tab 1'!A1"/><Relationship Id="rId6" Type="http://schemas.openxmlformats.org/officeDocument/2006/relationships/image" Target="../media/image36.svg"/><Relationship Id="rId11" Type="http://schemas.openxmlformats.org/officeDocument/2006/relationships/image" Target="../media/image23.png"/><Relationship Id="rId24" Type="http://schemas.openxmlformats.org/officeDocument/2006/relationships/image" Target="../media/image30.svg"/><Relationship Id="rId5" Type="http://schemas.openxmlformats.org/officeDocument/2006/relationships/image" Target="../media/image35.png"/><Relationship Id="rId15" Type="http://schemas.openxmlformats.org/officeDocument/2006/relationships/image" Target="../media/image26.svg"/><Relationship Id="rId23" Type="http://schemas.openxmlformats.org/officeDocument/2006/relationships/image" Target="../media/image29.png"/><Relationship Id="rId10" Type="http://schemas.openxmlformats.org/officeDocument/2006/relationships/hyperlink" Target="#'Tab 4'!A1"/><Relationship Id="rId19" Type="http://schemas.openxmlformats.org/officeDocument/2006/relationships/chart" Target="../charts/chart34.xml"/><Relationship Id="rId4" Type="http://schemas.openxmlformats.org/officeDocument/2006/relationships/hyperlink" Target="#'Tab 2'!A1"/><Relationship Id="rId9" Type="http://schemas.openxmlformats.org/officeDocument/2006/relationships/image" Target="../media/image22.svg"/><Relationship Id="rId14" Type="http://schemas.openxmlformats.org/officeDocument/2006/relationships/image" Target="../media/image25.png"/><Relationship Id="rId22" Type="http://schemas.openxmlformats.org/officeDocument/2006/relationships/image" Target="../media/image28.sv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png"/><Relationship Id="rId13" Type="http://schemas.openxmlformats.org/officeDocument/2006/relationships/hyperlink" Target="#'Tab 5'!A1"/><Relationship Id="rId18" Type="http://schemas.openxmlformats.org/officeDocument/2006/relationships/chart" Target="../charts/chart38.xml"/><Relationship Id="rId26" Type="http://schemas.openxmlformats.org/officeDocument/2006/relationships/image" Target="../media/image32.svg"/><Relationship Id="rId3" Type="http://schemas.openxmlformats.org/officeDocument/2006/relationships/image" Target="../media/image34.svg"/><Relationship Id="rId21" Type="http://schemas.openxmlformats.org/officeDocument/2006/relationships/image" Target="../media/image27.png"/><Relationship Id="rId7" Type="http://schemas.openxmlformats.org/officeDocument/2006/relationships/hyperlink" Target="#'Tab 3'!A1"/><Relationship Id="rId12" Type="http://schemas.openxmlformats.org/officeDocument/2006/relationships/image" Target="../media/image24.svg"/><Relationship Id="rId17" Type="http://schemas.openxmlformats.org/officeDocument/2006/relationships/chart" Target="../charts/chart37.xml"/><Relationship Id="rId25" Type="http://schemas.openxmlformats.org/officeDocument/2006/relationships/image" Target="../media/image31.png"/><Relationship Id="rId2" Type="http://schemas.openxmlformats.org/officeDocument/2006/relationships/image" Target="../media/image33.png"/><Relationship Id="rId16" Type="http://schemas.openxmlformats.org/officeDocument/2006/relationships/chart" Target="../charts/chart36.xml"/><Relationship Id="rId20" Type="http://schemas.openxmlformats.org/officeDocument/2006/relationships/chart" Target="../charts/chart40.xml"/><Relationship Id="rId1" Type="http://schemas.openxmlformats.org/officeDocument/2006/relationships/hyperlink" Target="#'Tab 1'!A1"/><Relationship Id="rId6" Type="http://schemas.openxmlformats.org/officeDocument/2006/relationships/image" Target="../media/image20.svg"/><Relationship Id="rId11" Type="http://schemas.openxmlformats.org/officeDocument/2006/relationships/image" Target="../media/image23.png"/><Relationship Id="rId24" Type="http://schemas.openxmlformats.org/officeDocument/2006/relationships/image" Target="../media/image30.svg"/><Relationship Id="rId5" Type="http://schemas.openxmlformats.org/officeDocument/2006/relationships/image" Target="../media/image19.png"/><Relationship Id="rId15" Type="http://schemas.openxmlformats.org/officeDocument/2006/relationships/image" Target="../media/image26.svg"/><Relationship Id="rId23" Type="http://schemas.openxmlformats.org/officeDocument/2006/relationships/image" Target="../media/image29.png"/><Relationship Id="rId10" Type="http://schemas.openxmlformats.org/officeDocument/2006/relationships/hyperlink" Target="#'Tab 4'!A1"/><Relationship Id="rId19" Type="http://schemas.openxmlformats.org/officeDocument/2006/relationships/chart" Target="../charts/chart39.xml"/><Relationship Id="rId4" Type="http://schemas.openxmlformats.org/officeDocument/2006/relationships/hyperlink" Target="#'Tab 2'!A1"/><Relationship Id="rId9" Type="http://schemas.openxmlformats.org/officeDocument/2006/relationships/image" Target="../media/image38.svg"/><Relationship Id="rId14" Type="http://schemas.openxmlformats.org/officeDocument/2006/relationships/image" Target="../media/image25.png"/><Relationship Id="rId22" Type="http://schemas.openxmlformats.org/officeDocument/2006/relationships/image" Target="../media/image28.sv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hyperlink" Target="#'Tab 5'!A1"/><Relationship Id="rId18" Type="http://schemas.openxmlformats.org/officeDocument/2006/relationships/chart" Target="../charts/chart43.xml"/><Relationship Id="rId26" Type="http://schemas.openxmlformats.org/officeDocument/2006/relationships/image" Target="../media/image32.svg"/><Relationship Id="rId3" Type="http://schemas.openxmlformats.org/officeDocument/2006/relationships/image" Target="../media/image34.svg"/><Relationship Id="rId21" Type="http://schemas.openxmlformats.org/officeDocument/2006/relationships/image" Target="../media/image27.png"/><Relationship Id="rId7" Type="http://schemas.openxmlformats.org/officeDocument/2006/relationships/hyperlink" Target="#'Tab 3'!A1"/><Relationship Id="rId12" Type="http://schemas.openxmlformats.org/officeDocument/2006/relationships/image" Target="../media/image40.svg"/><Relationship Id="rId17" Type="http://schemas.openxmlformats.org/officeDocument/2006/relationships/chart" Target="../charts/chart42.xml"/><Relationship Id="rId25" Type="http://schemas.openxmlformats.org/officeDocument/2006/relationships/image" Target="../media/image31.png"/><Relationship Id="rId2" Type="http://schemas.openxmlformats.org/officeDocument/2006/relationships/image" Target="../media/image33.png"/><Relationship Id="rId16" Type="http://schemas.openxmlformats.org/officeDocument/2006/relationships/chart" Target="../charts/chart41.xml"/><Relationship Id="rId20" Type="http://schemas.openxmlformats.org/officeDocument/2006/relationships/chart" Target="../charts/chart45.xml"/><Relationship Id="rId1" Type="http://schemas.openxmlformats.org/officeDocument/2006/relationships/hyperlink" Target="#'Tab 1'!A1"/><Relationship Id="rId6" Type="http://schemas.openxmlformats.org/officeDocument/2006/relationships/image" Target="../media/image20.svg"/><Relationship Id="rId11" Type="http://schemas.openxmlformats.org/officeDocument/2006/relationships/image" Target="../media/image39.png"/><Relationship Id="rId24" Type="http://schemas.openxmlformats.org/officeDocument/2006/relationships/image" Target="../media/image30.svg"/><Relationship Id="rId5" Type="http://schemas.openxmlformats.org/officeDocument/2006/relationships/image" Target="../media/image19.png"/><Relationship Id="rId15" Type="http://schemas.openxmlformats.org/officeDocument/2006/relationships/image" Target="../media/image26.svg"/><Relationship Id="rId23" Type="http://schemas.openxmlformats.org/officeDocument/2006/relationships/image" Target="../media/image29.png"/><Relationship Id="rId10" Type="http://schemas.openxmlformats.org/officeDocument/2006/relationships/hyperlink" Target="#'Tab 4'!A1"/><Relationship Id="rId19" Type="http://schemas.openxmlformats.org/officeDocument/2006/relationships/chart" Target="../charts/chart44.xml"/><Relationship Id="rId4" Type="http://schemas.openxmlformats.org/officeDocument/2006/relationships/hyperlink" Target="#'Tab 2'!A1"/><Relationship Id="rId9" Type="http://schemas.openxmlformats.org/officeDocument/2006/relationships/image" Target="../media/image22.svg"/><Relationship Id="rId14" Type="http://schemas.openxmlformats.org/officeDocument/2006/relationships/image" Target="../media/image25.png"/><Relationship Id="rId22" Type="http://schemas.openxmlformats.org/officeDocument/2006/relationships/image" Target="../media/image28.sv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image" Target="../media/image41.png"/><Relationship Id="rId18" Type="http://schemas.openxmlformats.org/officeDocument/2006/relationships/chart" Target="../charts/chart49.xml"/><Relationship Id="rId3" Type="http://schemas.openxmlformats.org/officeDocument/2006/relationships/image" Target="../media/image34.svg"/><Relationship Id="rId21" Type="http://schemas.openxmlformats.org/officeDocument/2006/relationships/image" Target="../media/image28.svg"/><Relationship Id="rId7" Type="http://schemas.openxmlformats.org/officeDocument/2006/relationships/hyperlink" Target="#'Tab 3'!A1"/><Relationship Id="rId12" Type="http://schemas.openxmlformats.org/officeDocument/2006/relationships/image" Target="../media/image24.svg"/><Relationship Id="rId17" Type="http://schemas.openxmlformats.org/officeDocument/2006/relationships/chart" Target="../charts/chart48.xml"/><Relationship Id="rId25" Type="http://schemas.openxmlformats.org/officeDocument/2006/relationships/image" Target="../media/image32.svg"/><Relationship Id="rId2" Type="http://schemas.openxmlformats.org/officeDocument/2006/relationships/image" Target="../media/image33.png"/><Relationship Id="rId16" Type="http://schemas.openxmlformats.org/officeDocument/2006/relationships/chart" Target="../charts/chart47.xml"/><Relationship Id="rId20" Type="http://schemas.openxmlformats.org/officeDocument/2006/relationships/image" Target="../media/image27.png"/><Relationship Id="rId1" Type="http://schemas.openxmlformats.org/officeDocument/2006/relationships/hyperlink" Target="#'Tab 1'!A1"/><Relationship Id="rId6" Type="http://schemas.openxmlformats.org/officeDocument/2006/relationships/image" Target="../media/image20.svg"/><Relationship Id="rId11" Type="http://schemas.openxmlformats.org/officeDocument/2006/relationships/image" Target="../media/image23.png"/><Relationship Id="rId24" Type="http://schemas.openxmlformats.org/officeDocument/2006/relationships/image" Target="../media/image31.png"/><Relationship Id="rId5" Type="http://schemas.openxmlformats.org/officeDocument/2006/relationships/image" Target="../media/image19.png"/><Relationship Id="rId15" Type="http://schemas.openxmlformats.org/officeDocument/2006/relationships/chart" Target="../charts/chart46.xml"/><Relationship Id="rId23" Type="http://schemas.openxmlformats.org/officeDocument/2006/relationships/image" Target="../media/image30.svg"/><Relationship Id="rId10" Type="http://schemas.openxmlformats.org/officeDocument/2006/relationships/hyperlink" Target="#'Tab 4'!A1"/><Relationship Id="rId19" Type="http://schemas.openxmlformats.org/officeDocument/2006/relationships/chart" Target="../charts/chart50.xml"/><Relationship Id="rId4" Type="http://schemas.openxmlformats.org/officeDocument/2006/relationships/hyperlink" Target="#'Tab 2'!A1"/><Relationship Id="rId9" Type="http://schemas.openxmlformats.org/officeDocument/2006/relationships/image" Target="../media/image22.svg"/><Relationship Id="rId14" Type="http://schemas.openxmlformats.org/officeDocument/2006/relationships/image" Target="../media/image42.svg"/><Relationship Id="rId2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292799</xdr:colOff>
      <xdr:row>1</xdr:row>
      <xdr:rowOff>145095</xdr:rowOff>
    </xdr:from>
    <xdr:to>
      <xdr:col>7</xdr:col>
      <xdr:colOff>433911</xdr:colOff>
      <xdr:row>37</xdr:row>
      <xdr:rowOff>47316</xdr:rowOff>
    </xdr:to>
    <xdr:sp macro="" textlink="">
      <xdr:nvSpPr>
        <xdr:cNvPr id="10" name="Freeform: Shape 9">
          <a:extLst>
            <a:ext uri="{FF2B5EF4-FFF2-40B4-BE49-F238E27FC236}">
              <a16:creationId xmlns:a16="http://schemas.microsoft.com/office/drawing/2014/main" id="{F29B0770-C70E-45C9-9A3A-53838F01A95E}"/>
            </a:ext>
          </a:extLst>
        </xdr:cNvPr>
        <xdr:cNvSpPr/>
      </xdr:nvSpPr>
      <xdr:spPr>
        <a:xfrm rot="5721033">
          <a:off x="-745996" y="1366770"/>
          <a:ext cx="6485901" cy="4408312"/>
        </a:xfrm>
        <a:custGeom>
          <a:avLst/>
          <a:gdLst>
            <a:gd name="connsiteX0" fmla="*/ 6438714 w 6485901"/>
            <a:gd name="connsiteY0" fmla="*/ 900976 h 4850272"/>
            <a:gd name="connsiteX1" fmla="*/ 98874 w 6485901"/>
            <a:gd name="connsiteY1" fmla="*/ 306616 h 4850272"/>
            <a:gd name="connsiteX2" fmla="*/ 2842074 w 6485901"/>
            <a:gd name="connsiteY2" fmla="*/ 4848136 h 4850272"/>
            <a:gd name="connsiteX3" fmla="*/ 6438714 w 6485901"/>
            <a:gd name="connsiteY3" fmla="*/ 900976 h 48502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485901" h="4850272">
              <a:moveTo>
                <a:pt x="6438714" y="900976"/>
              </a:moveTo>
              <a:cubicBezTo>
                <a:pt x="5981514" y="144056"/>
                <a:pt x="698314" y="-351244"/>
                <a:pt x="98874" y="306616"/>
              </a:cubicBezTo>
              <a:cubicBezTo>
                <a:pt x="-500566" y="964476"/>
                <a:pt x="1777814" y="4750346"/>
                <a:pt x="2842074" y="4848136"/>
              </a:cubicBezTo>
              <a:cubicBezTo>
                <a:pt x="3906334" y="4945926"/>
                <a:pt x="6895914" y="1657896"/>
                <a:pt x="6438714" y="900976"/>
              </a:cubicBezTo>
              <a:close/>
            </a:path>
          </a:pathLst>
        </a:custGeom>
        <a:solidFill>
          <a:srgbClr val="5A7D7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7</xdr:col>
      <xdr:colOff>260256</xdr:colOff>
      <xdr:row>4</xdr:row>
      <xdr:rowOff>94913</xdr:rowOff>
    </xdr:from>
    <xdr:to>
      <xdr:col>27</xdr:col>
      <xdr:colOff>605135</xdr:colOff>
      <xdr:row>39</xdr:row>
      <xdr:rowOff>176882</xdr:rowOff>
    </xdr:to>
    <xdr:sp macro="" textlink="">
      <xdr:nvSpPr>
        <xdr:cNvPr id="9" name="Freeform: Shape 8">
          <a:extLst>
            <a:ext uri="{FF2B5EF4-FFF2-40B4-BE49-F238E27FC236}">
              <a16:creationId xmlns:a16="http://schemas.microsoft.com/office/drawing/2014/main" id="{AB46794E-A673-4A33-8A2B-E54A13303188}"/>
            </a:ext>
          </a:extLst>
        </xdr:cNvPr>
        <xdr:cNvSpPr/>
      </xdr:nvSpPr>
      <xdr:spPr>
        <a:xfrm rot="293933">
          <a:off x="4527456" y="839980"/>
          <a:ext cx="12536879" cy="6601302"/>
        </a:xfrm>
        <a:custGeom>
          <a:avLst/>
          <a:gdLst>
            <a:gd name="connsiteX0" fmla="*/ 6438714 w 6485901"/>
            <a:gd name="connsiteY0" fmla="*/ 900976 h 4850272"/>
            <a:gd name="connsiteX1" fmla="*/ 98874 w 6485901"/>
            <a:gd name="connsiteY1" fmla="*/ 306616 h 4850272"/>
            <a:gd name="connsiteX2" fmla="*/ 2842074 w 6485901"/>
            <a:gd name="connsiteY2" fmla="*/ 4848136 h 4850272"/>
            <a:gd name="connsiteX3" fmla="*/ 6438714 w 6485901"/>
            <a:gd name="connsiteY3" fmla="*/ 900976 h 48502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485901" h="4850272">
              <a:moveTo>
                <a:pt x="6438714" y="900976"/>
              </a:moveTo>
              <a:cubicBezTo>
                <a:pt x="5981514" y="144056"/>
                <a:pt x="698314" y="-351244"/>
                <a:pt x="98874" y="306616"/>
              </a:cubicBezTo>
              <a:cubicBezTo>
                <a:pt x="-500566" y="964476"/>
                <a:pt x="1777814" y="4750346"/>
                <a:pt x="2842074" y="4848136"/>
              </a:cubicBezTo>
              <a:cubicBezTo>
                <a:pt x="3906334" y="4945926"/>
                <a:pt x="6895914" y="1657896"/>
                <a:pt x="6438714" y="900976"/>
              </a:cubicBezTo>
              <a:close/>
            </a:path>
          </a:pathLst>
        </a:custGeom>
        <a:solidFill>
          <a:srgbClr val="B5B2C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419100</xdr:colOff>
      <xdr:row>0</xdr:row>
      <xdr:rowOff>183727</xdr:rowOff>
    </xdr:from>
    <xdr:to>
      <xdr:col>19</xdr:col>
      <xdr:colOff>0</xdr:colOff>
      <xdr:row>29</xdr:row>
      <xdr:rowOff>135467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5C27A34-BC83-4793-9B65-61250C782862}"/>
            </a:ext>
          </a:extLst>
        </xdr:cNvPr>
        <xdr:cNvSpPr/>
      </xdr:nvSpPr>
      <xdr:spPr>
        <a:xfrm>
          <a:off x="1028700" y="183727"/>
          <a:ext cx="10553700" cy="535347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441960</xdr:colOff>
      <xdr:row>3</xdr:row>
      <xdr:rowOff>167640</xdr:rowOff>
    </xdr:from>
    <xdr:to>
      <xdr:col>19</xdr:col>
      <xdr:colOff>0</xdr:colOff>
      <xdr:row>29</xdr:row>
      <xdr:rowOff>135467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F65C631-2262-4435-AC2D-E0596C99E26A}"/>
            </a:ext>
          </a:extLst>
        </xdr:cNvPr>
        <xdr:cNvSpPr/>
      </xdr:nvSpPr>
      <xdr:spPr>
        <a:xfrm>
          <a:off x="1661160" y="726440"/>
          <a:ext cx="9921240" cy="481076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474133</xdr:colOff>
      <xdr:row>9</xdr:row>
      <xdr:rowOff>93136</xdr:rowOff>
    </xdr:from>
    <xdr:to>
      <xdr:col>2</xdr:col>
      <xdr:colOff>412300</xdr:colOff>
      <xdr:row>12</xdr:row>
      <xdr:rowOff>50802</xdr:rowOff>
    </xdr:to>
    <xdr:sp macro="" textlink="">
      <xdr:nvSpPr>
        <xdr:cNvPr id="24" name="Pentagon 23">
          <a:extLst>
            <a:ext uri="{FF2B5EF4-FFF2-40B4-BE49-F238E27FC236}">
              <a16:creationId xmlns:a16="http://schemas.microsoft.com/office/drawing/2014/main" id="{9120E2E9-4C51-421D-B2DA-AE99D1ECF351}"/>
            </a:ext>
          </a:extLst>
        </xdr:cNvPr>
        <xdr:cNvSpPr>
          <a:spLocks noChangeAspect="1"/>
        </xdr:cNvSpPr>
      </xdr:nvSpPr>
      <xdr:spPr>
        <a:xfrm>
          <a:off x="1083733" y="1769536"/>
          <a:ext cx="547767" cy="516466"/>
        </a:xfrm>
        <a:prstGeom prst="pentagon">
          <a:avLst/>
        </a:prstGeom>
        <a:solidFill>
          <a:srgbClr val="DADF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528600</xdr:colOff>
      <xdr:row>9</xdr:row>
      <xdr:rowOff>168200</xdr:rowOff>
    </xdr:from>
    <xdr:to>
      <xdr:col>2</xdr:col>
      <xdr:colOff>351000</xdr:colOff>
      <xdr:row>25</xdr:row>
      <xdr:rowOff>82466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2DFAD28-7E9A-4DA5-AA73-47BBB1B89A5E}"/>
            </a:ext>
          </a:extLst>
        </xdr:cNvPr>
        <xdr:cNvGrpSpPr/>
      </xdr:nvGrpSpPr>
      <xdr:grpSpPr>
        <a:xfrm>
          <a:off x="1138200" y="1844600"/>
          <a:ext cx="432000" cy="2894533"/>
          <a:chOff x="2391267" y="1268866"/>
          <a:chExt cx="432000" cy="2894533"/>
        </a:xfrm>
      </xdr:grpSpPr>
      <xdr:pic>
        <xdr:nvPicPr>
          <xdr:cNvPr id="12" name="Graphic 11" descr="Cow with solid fill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E266189D-7101-4012-ABB3-85853CFB33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391267" y="2500132"/>
            <a:ext cx="432000" cy="432000"/>
          </a:xfrm>
          <a:prstGeom prst="rect">
            <a:avLst/>
          </a:prstGeom>
        </xdr:spPr>
      </xdr:pic>
      <xdr:pic>
        <xdr:nvPicPr>
          <xdr:cNvPr id="14" name="Graphic 13" descr="Fish with solid fill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9DB8FC9-BF1F-4388-8FE8-AEE17DC807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391267" y="3731399"/>
            <a:ext cx="432000" cy="432000"/>
          </a:xfrm>
          <a:prstGeom prst="rect">
            <a:avLst/>
          </a:prstGeom>
        </xdr:spPr>
      </xdr:pic>
      <xdr:pic>
        <xdr:nvPicPr>
          <xdr:cNvPr id="16" name="Graphic 15" descr="Peacock with solid fill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FE56C2C9-2408-4DEF-9997-C988952D21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2391267" y="3115765"/>
            <a:ext cx="432000" cy="432000"/>
          </a:xfrm>
          <a:prstGeom prst="rect">
            <a:avLst/>
          </a:prstGeom>
        </xdr:spPr>
      </xdr:pic>
      <xdr:pic>
        <xdr:nvPicPr>
          <xdr:cNvPr id="18" name="Graphic 17" descr="Pig with solid fill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17E42FD9-7C2D-49C2-B2AB-A4E5B37425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2391267" y="1884499"/>
            <a:ext cx="432000" cy="432000"/>
          </a:xfrm>
          <a:prstGeom prst="rect">
            <a:avLst/>
          </a:prstGeom>
        </xdr:spPr>
      </xdr:pic>
      <xdr:pic>
        <xdr:nvPicPr>
          <xdr:cNvPr id="20" name="Graphic 19" descr="Open hand with plant with solid fill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0CC8EB25-F22B-4C7D-B47D-39D9B28DD6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2391267" y="1268866"/>
            <a:ext cx="432000" cy="4320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270933</xdr:colOff>
      <xdr:row>1</xdr:row>
      <xdr:rowOff>97369</xdr:rowOff>
    </xdr:from>
    <xdr:to>
      <xdr:col>16</xdr:col>
      <xdr:colOff>254000</xdr:colOff>
      <xdr:row>3</xdr:row>
      <xdr:rowOff>38102</xdr:rowOff>
    </xdr:to>
    <xdr:sp macro="" textlink="Sheet1!B2">
      <xdr:nvSpPr>
        <xdr:cNvPr id="26" name="Rectangle: Rounded Corners 25">
          <a:extLst>
            <a:ext uri="{FF2B5EF4-FFF2-40B4-BE49-F238E27FC236}">
              <a16:creationId xmlns:a16="http://schemas.microsoft.com/office/drawing/2014/main" id="{24112047-A273-4F82-8E0A-F6772650BF19}"/>
            </a:ext>
          </a:extLst>
        </xdr:cNvPr>
        <xdr:cNvSpPr/>
      </xdr:nvSpPr>
      <xdr:spPr>
        <a:xfrm>
          <a:off x="8805333" y="283636"/>
          <a:ext cx="1202267" cy="313266"/>
        </a:xfrm>
        <a:prstGeom prst="roundRect">
          <a:avLst/>
        </a:prstGeom>
        <a:gradFill>
          <a:gsLst>
            <a:gs pos="0">
              <a:srgbClr val="B5B2C2"/>
            </a:gs>
            <a:gs pos="82000">
              <a:srgbClr val="DADFF7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489C72C-F7AE-46F1-A8C1-2895165DC592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+mn-cs"/>
            </a:rPr>
            <a:pPr marL="0" indent="0" algn="ctr"/>
            <a:t>1st Jun - 15th Sep</a:t>
          </a:fld>
          <a:endParaRPr lang="uk-UA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414865</xdr:colOff>
      <xdr:row>1</xdr:row>
      <xdr:rowOff>169337</xdr:rowOff>
    </xdr:from>
    <xdr:to>
      <xdr:col>7</xdr:col>
      <xdr:colOff>126998</xdr:colOff>
      <xdr:row>3</xdr:row>
      <xdr:rowOff>93137</xdr:rowOff>
    </xdr:to>
    <xdr:sp macro="" textlink="Sheet1!B1">
      <xdr:nvSpPr>
        <xdr:cNvPr id="27" name="TextBox 26">
          <a:extLst>
            <a:ext uri="{FF2B5EF4-FFF2-40B4-BE49-F238E27FC236}">
              <a16:creationId xmlns:a16="http://schemas.microsoft.com/office/drawing/2014/main" id="{93D4DFB5-2D6B-4751-ADEC-2E248AEC6764}"/>
            </a:ext>
          </a:extLst>
        </xdr:cNvPr>
        <xdr:cNvSpPr txBox="1"/>
      </xdr:nvSpPr>
      <xdr:spPr>
        <a:xfrm>
          <a:off x="1634065" y="355604"/>
          <a:ext cx="2760133" cy="296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1D20AF4D-F9E7-42F8-9A00-3FBA50A82B68}" type="TxLink">
            <a:rPr lang="en-US" sz="1100" b="0" i="0" u="none" strike="noStrike">
              <a:solidFill>
                <a:srgbClr val="232C33"/>
              </a:solidFill>
              <a:latin typeface="Montserrat medium" panose="00000600000000000000" pitchFamily="2" charset="-52"/>
              <a:cs typeface="Calibri"/>
            </a:rPr>
            <a:t>Performance Analytics Dashboard</a:t>
          </a:fld>
          <a:endParaRPr lang="uk-UA" sz="1100" b="0" i="0" u="none" strike="noStrike">
            <a:solidFill>
              <a:srgbClr val="232C33"/>
            </a:solidFill>
            <a:latin typeface="Montserrat medium" panose="00000600000000000000" pitchFamily="2" charset="-52"/>
            <a:cs typeface="Calibri"/>
          </a:endParaRPr>
        </a:p>
      </xdr:txBody>
    </xdr:sp>
    <xdr:clientData/>
  </xdr:twoCellAnchor>
  <xdr:twoCellAnchor>
    <xdr:from>
      <xdr:col>1</xdr:col>
      <xdr:colOff>499534</xdr:colOff>
      <xdr:row>1</xdr:row>
      <xdr:rowOff>8468</xdr:rowOff>
    </xdr:from>
    <xdr:to>
      <xdr:col>2</xdr:col>
      <xdr:colOff>357934</xdr:colOff>
      <xdr:row>4</xdr:row>
      <xdr:rowOff>26392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206EF10-4786-4853-A853-5035018E85D3}"/>
            </a:ext>
          </a:extLst>
        </xdr:cNvPr>
        <xdr:cNvGrpSpPr/>
      </xdr:nvGrpSpPr>
      <xdr:grpSpPr>
        <a:xfrm>
          <a:off x="1109134" y="194735"/>
          <a:ext cx="468000" cy="576724"/>
          <a:chOff x="1041400" y="186269"/>
          <a:chExt cx="468000" cy="576724"/>
        </a:xfrm>
      </xdr:grpSpPr>
      <xdr:sp macro="" textlink="">
        <xdr:nvSpPr>
          <xdr:cNvPr id="28" name="Pentagon 27">
            <a:extLst>
              <a:ext uri="{FF2B5EF4-FFF2-40B4-BE49-F238E27FC236}">
                <a16:creationId xmlns:a16="http://schemas.microsoft.com/office/drawing/2014/main" id="{85F619A8-DBBC-4E26-8FDB-A15CB601D01C}"/>
              </a:ext>
            </a:extLst>
          </xdr:cNvPr>
          <xdr:cNvSpPr>
            <a:spLocks noChangeAspect="1"/>
          </xdr:cNvSpPr>
        </xdr:nvSpPr>
        <xdr:spPr>
          <a:xfrm>
            <a:off x="1041400" y="186269"/>
            <a:ext cx="468000" cy="441257"/>
          </a:xfrm>
          <a:prstGeom prst="pentagon">
            <a:avLst/>
          </a:prstGeom>
          <a:solidFill>
            <a:srgbClr val="DADF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uk-UA" sz="1100"/>
          </a:p>
        </xdr:txBody>
      </xdr:sp>
      <xdr:sp macro="" textlink="">
        <xdr:nvSpPr>
          <xdr:cNvPr id="29" name="Pentagon 28">
            <a:extLst>
              <a:ext uri="{FF2B5EF4-FFF2-40B4-BE49-F238E27FC236}">
                <a16:creationId xmlns:a16="http://schemas.microsoft.com/office/drawing/2014/main" id="{4D6D88B3-8BA0-4566-9D73-046203523ACC}"/>
              </a:ext>
            </a:extLst>
          </xdr:cNvPr>
          <xdr:cNvSpPr>
            <a:spLocks noChangeAspect="1"/>
          </xdr:cNvSpPr>
        </xdr:nvSpPr>
        <xdr:spPr>
          <a:xfrm>
            <a:off x="1041400" y="321736"/>
            <a:ext cx="468000" cy="441257"/>
          </a:xfrm>
          <a:prstGeom prst="pentagon">
            <a:avLst/>
          </a:prstGeom>
          <a:gradFill>
            <a:gsLst>
              <a:gs pos="0">
                <a:srgbClr val="B5B2C2"/>
              </a:gs>
              <a:gs pos="82000">
                <a:srgbClr val="DADFF7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uk-UA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16</xdr:col>
      <xdr:colOff>431799</xdr:colOff>
      <xdr:row>1</xdr:row>
      <xdr:rowOff>97369</xdr:rowOff>
    </xdr:from>
    <xdr:to>
      <xdr:col>18</xdr:col>
      <xdr:colOff>414866</xdr:colOff>
      <xdr:row>3</xdr:row>
      <xdr:rowOff>38102</xdr:rowOff>
    </xdr:to>
    <xdr:sp macro="" textlink="Sheet1!B3">
      <xdr:nvSpPr>
        <xdr:cNvPr id="35" name="Rectangle: Rounded Corners 34">
          <a:extLst>
            <a:ext uri="{FF2B5EF4-FFF2-40B4-BE49-F238E27FC236}">
              <a16:creationId xmlns:a16="http://schemas.microsoft.com/office/drawing/2014/main" id="{0CF4D521-4D96-4021-8720-C20A9DB7BD16}"/>
            </a:ext>
          </a:extLst>
        </xdr:cNvPr>
        <xdr:cNvSpPr/>
      </xdr:nvSpPr>
      <xdr:spPr>
        <a:xfrm>
          <a:off x="10185399" y="283636"/>
          <a:ext cx="1202267" cy="313266"/>
        </a:xfrm>
        <a:prstGeom prst="roundRect">
          <a:avLst/>
        </a:prstGeom>
        <a:gradFill>
          <a:gsLst>
            <a:gs pos="0">
              <a:srgbClr val="B5B2C2"/>
            </a:gs>
            <a:gs pos="82000">
              <a:srgbClr val="DADFF7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2BEB51A-761D-41EC-B59A-E835EA583929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+mn-cs"/>
            </a:rPr>
            <a:pPr marL="0" indent="0" algn="ctr"/>
            <a:t>Quarterly Report</a:t>
          </a:fld>
          <a:endParaRPr lang="uk-UA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25395</xdr:colOff>
      <xdr:row>4</xdr:row>
      <xdr:rowOff>84664</xdr:rowOff>
    </xdr:from>
    <xdr:to>
      <xdr:col>4</xdr:col>
      <xdr:colOff>448728</xdr:colOff>
      <xdr:row>29</xdr:row>
      <xdr:rowOff>50800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4E64FFF-F007-4FDB-BB7C-EA39B45BFD5A}"/>
            </a:ext>
          </a:extLst>
        </xdr:cNvPr>
        <xdr:cNvSpPr/>
      </xdr:nvSpPr>
      <xdr:spPr>
        <a:xfrm>
          <a:off x="1854195" y="829731"/>
          <a:ext cx="1032933" cy="4622802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465665</xdr:colOff>
      <xdr:row>10</xdr:row>
      <xdr:rowOff>1</xdr:rowOff>
    </xdr:from>
    <xdr:to>
      <xdr:col>2</xdr:col>
      <xdr:colOff>519665</xdr:colOff>
      <xdr:row>12</xdr:row>
      <xdr:rowOff>67735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9C568CF5-E092-40D4-A371-65A6062C3B59}"/>
            </a:ext>
          </a:extLst>
        </xdr:cNvPr>
        <xdr:cNvSpPr/>
      </xdr:nvSpPr>
      <xdr:spPr>
        <a:xfrm>
          <a:off x="1684865" y="1862668"/>
          <a:ext cx="54000" cy="440267"/>
        </a:xfrm>
        <a:prstGeom prst="roundRect">
          <a:avLst/>
        </a:prstGeom>
        <a:solidFill>
          <a:srgbClr val="DADF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3</xdr:col>
      <xdr:colOff>110065</xdr:colOff>
      <xdr:row>4</xdr:row>
      <xdr:rowOff>152396</xdr:rowOff>
    </xdr:from>
    <xdr:to>
      <xdr:col>4</xdr:col>
      <xdr:colOff>524932</xdr:colOff>
      <xdr:row>6</xdr:row>
      <xdr:rowOff>118530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C268B11-9D06-42F1-AD80-62334D914EC4}"/>
            </a:ext>
          </a:extLst>
        </xdr:cNvPr>
        <xdr:cNvGrpSpPr/>
      </xdr:nvGrpSpPr>
      <xdr:grpSpPr>
        <a:xfrm>
          <a:off x="1938865" y="897463"/>
          <a:ext cx="1024467" cy="338667"/>
          <a:chOff x="2057401" y="982133"/>
          <a:chExt cx="1024467" cy="338667"/>
        </a:xfrm>
      </xdr:grpSpPr>
      <xdr:sp macro="" textlink="Sheet1!C21">
        <xdr:nvSpPr>
          <xdr:cNvPr id="38" name="TextBox 37">
            <a:extLst>
              <a:ext uri="{FF2B5EF4-FFF2-40B4-BE49-F238E27FC236}">
                <a16:creationId xmlns:a16="http://schemas.microsoft.com/office/drawing/2014/main" id="{DF8F9769-3D3C-45AD-97D1-59463E61D967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E8F972BE-4DBE-4781-B5A1-1E644F888CF7}" type="TxLink">
              <a:rPr lang="en-US" sz="800" b="0" i="0" u="none" strike="noStrike">
                <a:solidFill>
                  <a:srgbClr val="232C33"/>
                </a:solidFill>
                <a:latin typeface="Montserrat"/>
                <a:cs typeface="Calibri"/>
              </a:rPr>
              <a:t>Visits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1">
        <xdr:nvSpPr>
          <xdr:cNvPr id="39" name="TextBox 38">
            <a:extLst>
              <a:ext uri="{FF2B5EF4-FFF2-40B4-BE49-F238E27FC236}">
                <a16:creationId xmlns:a16="http://schemas.microsoft.com/office/drawing/2014/main" id="{F0692ECE-241A-401C-9AD1-1A78721C258E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827F006B-0E32-4739-BFB6-0681DADFAFBC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65 800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7</xdr:row>
      <xdr:rowOff>51737</xdr:rowOff>
    </xdr:from>
    <xdr:to>
      <xdr:col>4</xdr:col>
      <xdr:colOff>524932</xdr:colOff>
      <xdr:row>9</xdr:row>
      <xdr:rowOff>17871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7426C201-3366-4304-8EA2-B7803D961C75}"/>
            </a:ext>
          </a:extLst>
        </xdr:cNvPr>
        <xdr:cNvGrpSpPr/>
      </xdr:nvGrpSpPr>
      <xdr:grpSpPr>
        <a:xfrm>
          <a:off x="1938865" y="1355604"/>
          <a:ext cx="1024467" cy="338667"/>
          <a:chOff x="2057401" y="982133"/>
          <a:chExt cx="1024467" cy="338667"/>
        </a:xfrm>
      </xdr:grpSpPr>
      <xdr:sp macro="" textlink="Sheet1!C22">
        <xdr:nvSpPr>
          <xdr:cNvPr id="43" name="TextBox 42">
            <a:extLst>
              <a:ext uri="{FF2B5EF4-FFF2-40B4-BE49-F238E27FC236}">
                <a16:creationId xmlns:a16="http://schemas.microsoft.com/office/drawing/2014/main" id="{2A2B2174-088A-4D5A-B642-F3C618FD42E3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CD7EBB09-ED16-4DF8-B22B-3F39D09920D8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Page Views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2">
        <xdr:nvSpPr>
          <xdr:cNvPr id="44" name="TextBox 43">
            <a:extLst>
              <a:ext uri="{FF2B5EF4-FFF2-40B4-BE49-F238E27FC236}">
                <a16:creationId xmlns:a16="http://schemas.microsoft.com/office/drawing/2014/main" id="{16BA639E-C055-46A5-80D8-9934D569A715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BD2C5464-BA9D-4BBD-B781-0CAD6312CFD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100 480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12</xdr:row>
      <xdr:rowOff>36686</xdr:rowOff>
    </xdr:from>
    <xdr:to>
      <xdr:col>4</xdr:col>
      <xdr:colOff>524932</xdr:colOff>
      <xdr:row>14</xdr:row>
      <xdr:rowOff>2820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AC18E422-E5DF-4F61-BA5D-D6377813C4A7}"/>
            </a:ext>
          </a:extLst>
        </xdr:cNvPr>
        <xdr:cNvGrpSpPr/>
      </xdr:nvGrpSpPr>
      <xdr:grpSpPr>
        <a:xfrm>
          <a:off x="1938865" y="2271886"/>
          <a:ext cx="1024467" cy="338667"/>
          <a:chOff x="2057401" y="982133"/>
          <a:chExt cx="1024467" cy="338667"/>
        </a:xfrm>
      </xdr:grpSpPr>
      <xdr:sp macro="" textlink="Sheet1!C24">
        <xdr:nvSpPr>
          <xdr:cNvPr id="46" name="TextBox 45">
            <a:extLst>
              <a:ext uri="{FF2B5EF4-FFF2-40B4-BE49-F238E27FC236}">
                <a16:creationId xmlns:a16="http://schemas.microsoft.com/office/drawing/2014/main" id="{4A4120C8-0332-4098-B72C-0ACB44B3AED5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5D1171C4-F89D-4EED-9A67-166015A6784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Exit Rate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4">
        <xdr:nvSpPr>
          <xdr:cNvPr id="47" name="TextBox 46">
            <a:extLst>
              <a:ext uri="{FF2B5EF4-FFF2-40B4-BE49-F238E27FC236}">
                <a16:creationId xmlns:a16="http://schemas.microsoft.com/office/drawing/2014/main" id="{FFACAF99-CD89-4939-BA88-2D818714F68F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EA9F93C-5BFD-4170-82A0-3901DA7DD540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44%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14</xdr:row>
      <xdr:rowOff>122294</xdr:rowOff>
    </xdr:from>
    <xdr:to>
      <xdr:col>4</xdr:col>
      <xdr:colOff>524932</xdr:colOff>
      <xdr:row>16</xdr:row>
      <xdr:rowOff>88427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68CD641D-0941-4133-AD13-DDF7FE66CE6B}"/>
            </a:ext>
          </a:extLst>
        </xdr:cNvPr>
        <xdr:cNvGrpSpPr/>
      </xdr:nvGrpSpPr>
      <xdr:grpSpPr>
        <a:xfrm>
          <a:off x="1938865" y="2730027"/>
          <a:ext cx="1024467" cy="338667"/>
          <a:chOff x="2057401" y="982133"/>
          <a:chExt cx="1024467" cy="338667"/>
        </a:xfrm>
      </xdr:grpSpPr>
      <xdr:sp macro="" textlink="Sheet1!C25">
        <xdr:nvSpPr>
          <xdr:cNvPr id="49" name="TextBox 48">
            <a:extLst>
              <a:ext uri="{FF2B5EF4-FFF2-40B4-BE49-F238E27FC236}">
                <a16:creationId xmlns:a16="http://schemas.microsoft.com/office/drawing/2014/main" id="{4AC92A65-D270-4CC6-8289-AD44EB71E151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4BFED5A9-BD6C-4B75-A128-14BA340D304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Organic Traffic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5">
        <xdr:nvSpPr>
          <xdr:cNvPr id="50" name="TextBox 49">
            <a:extLst>
              <a:ext uri="{FF2B5EF4-FFF2-40B4-BE49-F238E27FC236}">
                <a16:creationId xmlns:a16="http://schemas.microsoft.com/office/drawing/2014/main" id="{2320837B-6F69-4B7C-9BB1-5BF3D2020414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F79400B-C723-4186-BD3A-811C05F2A073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31 300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17</xdr:row>
      <xdr:rowOff>21635</xdr:rowOff>
    </xdr:from>
    <xdr:to>
      <xdr:col>4</xdr:col>
      <xdr:colOff>524932</xdr:colOff>
      <xdr:row>18</xdr:row>
      <xdr:rowOff>174035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2206749F-BFB5-4604-AC5E-2C9A9D862CC0}"/>
            </a:ext>
          </a:extLst>
        </xdr:cNvPr>
        <xdr:cNvGrpSpPr/>
      </xdr:nvGrpSpPr>
      <xdr:grpSpPr>
        <a:xfrm>
          <a:off x="1938865" y="3188168"/>
          <a:ext cx="1024467" cy="338667"/>
          <a:chOff x="2057401" y="982133"/>
          <a:chExt cx="1024467" cy="338667"/>
        </a:xfrm>
      </xdr:grpSpPr>
      <xdr:sp macro="" textlink="Sheet1!C26">
        <xdr:nvSpPr>
          <xdr:cNvPr id="52" name="TextBox 51">
            <a:extLst>
              <a:ext uri="{FF2B5EF4-FFF2-40B4-BE49-F238E27FC236}">
                <a16:creationId xmlns:a16="http://schemas.microsoft.com/office/drawing/2014/main" id="{F3FDC2B8-C301-498A-868F-3F52CA844D88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1211C3E6-3A3A-4BDF-B05B-283A3808546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Paid Traffic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6">
        <xdr:nvSpPr>
          <xdr:cNvPr id="53" name="TextBox 52">
            <a:extLst>
              <a:ext uri="{FF2B5EF4-FFF2-40B4-BE49-F238E27FC236}">
                <a16:creationId xmlns:a16="http://schemas.microsoft.com/office/drawing/2014/main" id="{8E8058E2-E284-48B3-879F-D41A16F1CC5D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AF3822E2-8F45-45A3-A0A9-137CD83DF818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7 280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19</xdr:row>
      <xdr:rowOff>107242</xdr:rowOff>
    </xdr:from>
    <xdr:to>
      <xdr:col>4</xdr:col>
      <xdr:colOff>524932</xdr:colOff>
      <xdr:row>21</xdr:row>
      <xdr:rowOff>73376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7ABE9D95-8E23-418B-82FD-64C953C7708A}"/>
            </a:ext>
          </a:extLst>
        </xdr:cNvPr>
        <xdr:cNvGrpSpPr/>
      </xdr:nvGrpSpPr>
      <xdr:grpSpPr>
        <a:xfrm>
          <a:off x="1938865" y="3646309"/>
          <a:ext cx="1024467" cy="338667"/>
          <a:chOff x="2057401" y="982133"/>
          <a:chExt cx="1024467" cy="338667"/>
        </a:xfrm>
      </xdr:grpSpPr>
      <xdr:sp macro="" textlink="Sheet1!C27">
        <xdr:nvSpPr>
          <xdr:cNvPr id="55" name="TextBox 54">
            <a:extLst>
              <a:ext uri="{FF2B5EF4-FFF2-40B4-BE49-F238E27FC236}">
                <a16:creationId xmlns:a16="http://schemas.microsoft.com/office/drawing/2014/main" id="{E7336EDB-82C3-448F-926A-6203F237141F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CEE23843-822A-4CB9-A810-568B837D8B9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Direct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7">
        <xdr:nvSpPr>
          <xdr:cNvPr id="56" name="TextBox 55">
            <a:extLst>
              <a:ext uri="{FF2B5EF4-FFF2-40B4-BE49-F238E27FC236}">
                <a16:creationId xmlns:a16="http://schemas.microsoft.com/office/drawing/2014/main" id="{4D0A31C2-135B-4076-AB6A-5AC2CB14CD8F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ECD9853-913F-4973-B0E2-CC02CEF99FAA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7 750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22</xdr:row>
      <xdr:rowOff>6583</xdr:rowOff>
    </xdr:from>
    <xdr:to>
      <xdr:col>4</xdr:col>
      <xdr:colOff>524932</xdr:colOff>
      <xdr:row>23</xdr:row>
      <xdr:rowOff>158984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A6CBA3F0-F64B-4117-A333-73151207790E}"/>
            </a:ext>
          </a:extLst>
        </xdr:cNvPr>
        <xdr:cNvGrpSpPr/>
      </xdr:nvGrpSpPr>
      <xdr:grpSpPr>
        <a:xfrm>
          <a:off x="1938865" y="4104450"/>
          <a:ext cx="1024467" cy="338667"/>
          <a:chOff x="2057401" y="982133"/>
          <a:chExt cx="1024467" cy="338667"/>
        </a:xfrm>
      </xdr:grpSpPr>
      <xdr:sp macro="" textlink="Sheet1!C28">
        <xdr:nvSpPr>
          <xdr:cNvPr id="58" name="TextBox 57">
            <a:extLst>
              <a:ext uri="{FF2B5EF4-FFF2-40B4-BE49-F238E27FC236}">
                <a16:creationId xmlns:a16="http://schemas.microsoft.com/office/drawing/2014/main" id="{DE8CAED5-0675-4FEB-A279-EDC77E393E30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95A9C768-8B7C-496E-80EA-AE998DEB5256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Social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8">
        <xdr:nvSpPr>
          <xdr:cNvPr id="59" name="TextBox 58">
            <a:extLst>
              <a:ext uri="{FF2B5EF4-FFF2-40B4-BE49-F238E27FC236}">
                <a16:creationId xmlns:a16="http://schemas.microsoft.com/office/drawing/2014/main" id="{860788E9-5E3B-45FD-9C0D-4FC05CB4C837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D7D2AB42-D141-4AA0-916A-1D63FFE52F93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2 540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24</xdr:row>
      <xdr:rowOff>92191</xdr:rowOff>
    </xdr:from>
    <xdr:to>
      <xdr:col>4</xdr:col>
      <xdr:colOff>524932</xdr:colOff>
      <xdr:row>26</xdr:row>
      <xdr:rowOff>58325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5409CCF6-1AF4-4C8D-AA9E-DC5CF1410D22}"/>
            </a:ext>
          </a:extLst>
        </xdr:cNvPr>
        <xdr:cNvGrpSpPr/>
      </xdr:nvGrpSpPr>
      <xdr:grpSpPr>
        <a:xfrm>
          <a:off x="1938865" y="4562591"/>
          <a:ext cx="1024467" cy="338667"/>
          <a:chOff x="2057401" y="982133"/>
          <a:chExt cx="1024467" cy="338667"/>
        </a:xfrm>
      </xdr:grpSpPr>
      <xdr:sp macro="" textlink="Sheet1!C29">
        <xdr:nvSpPr>
          <xdr:cNvPr id="61" name="TextBox 60">
            <a:extLst>
              <a:ext uri="{FF2B5EF4-FFF2-40B4-BE49-F238E27FC236}">
                <a16:creationId xmlns:a16="http://schemas.microsoft.com/office/drawing/2014/main" id="{3AA07EA3-2282-4503-9F00-67726E9B6567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E20ED74-2368-4D5F-A802-C7EAEFE5DAC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Referral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9">
        <xdr:nvSpPr>
          <xdr:cNvPr id="62" name="TextBox 61">
            <a:extLst>
              <a:ext uri="{FF2B5EF4-FFF2-40B4-BE49-F238E27FC236}">
                <a16:creationId xmlns:a16="http://schemas.microsoft.com/office/drawing/2014/main" id="{D874EC10-C4E6-49B6-AA05-B3B490D8DB43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64169426-2861-4E52-AE1E-A2867C8C861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16 930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26</xdr:row>
      <xdr:rowOff>177801</xdr:rowOff>
    </xdr:from>
    <xdr:to>
      <xdr:col>4</xdr:col>
      <xdr:colOff>524932</xdr:colOff>
      <xdr:row>28</xdr:row>
      <xdr:rowOff>143934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D94CB521-AF2A-42CF-B270-5D1A1F6CAC3F}"/>
            </a:ext>
          </a:extLst>
        </xdr:cNvPr>
        <xdr:cNvGrpSpPr/>
      </xdr:nvGrpSpPr>
      <xdr:grpSpPr>
        <a:xfrm>
          <a:off x="1938865" y="5020734"/>
          <a:ext cx="1024467" cy="338667"/>
          <a:chOff x="2057401" y="982133"/>
          <a:chExt cx="1024467" cy="338667"/>
        </a:xfrm>
      </xdr:grpSpPr>
      <xdr:sp macro="" textlink="Sheet1!C30">
        <xdr:nvSpPr>
          <xdr:cNvPr id="64" name="TextBox 63">
            <a:extLst>
              <a:ext uri="{FF2B5EF4-FFF2-40B4-BE49-F238E27FC236}">
                <a16:creationId xmlns:a16="http://schemas.microsoft.com/office/drawing/2014/main" id="{306BCCAE-F386-4F88-A9B5-DCF81D73410C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98944F5-3273-43A3-A780-8A6B80228414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Top Location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30">
        <xdr:nvSpPr>
          <xdr:cNvPr id="65" name="TextBox 64">
            <a:extLst>
              <a:ext uri="{FF2B5EF4-FFF2-40B4-BE49-F238E27FC236}">
                <a16:creationId xmlns:a16="http://schemas.microsoft.com/office/drawing/2014/main" id="{37D76A8A-16C2-44CF-BF6F-3CE924EC8AA6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46B869EF-1FDB-4E88-BF2E-7D10528AE82C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Japan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9</xdr:row>
      <xdr:rowOff>137345</xdr:rowOff>
    </xdr:from>
    <xdr:to>
      <xdr:col>4</xdr:col>
      <xdr:colOff>524932</xdr:colOff>
      <xdr:row>11</xdr:row>
      <xdr:rowOff>103479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E58467E4-BCDA-410B-A996-16A92107CD5F}"/>
            </a:ext>
          </a:extLst>
        </xdr:cNvPr>
        <xdr:cNvGrpSpPr/>
      </xdr:nvGrpSpPr>
      <xdr:grpSpPr>
        <a:xfrm>
          <a:off x="1938865" y="1813745"/>
          <a:ext cx="1024467" cy="338667"/>
          <a:chOff x="2057401" y="982133"/>
          <a:chExt cx="1024467" cy="338667"/>
        </a:xfrm>
      </xdr:grpSpPr>
      <xdr:sp macro="" textlink="Sheet1!C23">
        <xdr:nvSpPr>
          <xdr:cNvPr id="67" name="TextBox 66">
            <a:extLst>
              <a:ext uri="{FF2B5EF4-FFF2-40B4-BE49-F238E27FC236}">
                <a16:creationId xmlns:a16="http://schemas.microsoft.com/office/drawing/2014/main" id="{367C434D-0266-4225-A0C5-BBA241A2547B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64F3898-E2B5-45B5-9AC1-3DE54A3C1A8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Bounce Rate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3">
        <xdr:nvSpPr>
          <xdr:cNvPr id="68" name="TextBox 67">
            <a:extLst>
              <a:ext uri="{FF2B5EF4-FFF2-40B4-BE49-F238E27FC236}">
                <a16:creationId xmlns:a16="http://schemas.microsoft.com/office/drawing/2014/main" id="{AA822B21-C739-4042-B428-097F0D4B756D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8FD1269B-3FF7-4124-B443-2187D69E253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45%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5</xdr:col>
      <xdr:colOff>3396</xdr:colOff>
      <xdr:row>4</xdr:row>
      <xdr:rowOff>84664</xdr:rowOff>
    </xdr:from>
    <xdr:to>
      <xdr:col>9</xdr:col>
      <xdr:colOff>264996</xdr:colOff>
      <xdr:row>14</xdr:row>
      <xdr:rowOff>93998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8DE3C6D5-09DB-4D1A-AC98-26C0B20F0E66}"/>
            </a:ext>
          </a:extLst>
        </xdr:cNvPr>
        <xdr:cNvSpPr/>
      </xdr:nvSpPr>
      <xdr:spPr>
        <a:xfrm>
          <a:off x="3051396" y="829731"/>
          <a:ext cx="2700000" cy="18720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9</xdr:col>
      <xdr:colOff>429266</xdr:colOff>
      <xdr:row>4</xdr:row>
      <xdr:rowOff>84664</xdr:rowOff>
    </xdr:from>
    <xdr:to>
      <xdr:col>14</xdr:col>
      <xdr:colOff>81266</xdr:colOff>
      <xdr:row>14</xdr:row>
      <xdr:rowOff>93998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3B48B477-D07F-4800-938E-899E08429235}"/>
            </a:ext>
          </a:extLst>
        </xdr:cNvPr>
        <xdr:cNvSpPr/>
      </xdr:nvSpPr>
      <xdr:spPr>
        <a:xfrm>
          <a:off x="5915666" y="829731"/>
          <a:ext cx="2700000" cy="18720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14</xdr:col>
      <xdr:colOff>245535</xdr:colOff>
      <xdr:row>4</xdr:row>
      <xdr:rowOff>84664</xdr:rowOff>
    </xdr:from>
    <xdr:to>
      <xdr:col>18</xdr:col>
      <xdr:colOff>507135</xdr:colOff>
      <xdr:row>25</xdr:row>
      <xdr:rowOff>97064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E72EE8FF-7E5F-4CB9-ABC2-C08D01546B7F}"/>
            </a:ext>
          </a:extLst>
        </xdr:cNvPr>
        <xdr:cNvSpPr/>
      </xdr:nvSpPr>
      <xdr:spPr>
        <a:xfrm>
          <a:off x="8779935" y="829731"/>
          <a:ext cx="2700000" cy="39240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3396</xdr:colOff>
      <xdr:row>15</xdr:row>
      <xdr:rowOff>87731</xdr:rowOff>
    </xdr:from>
    <xdr:to>
      <xdr:col>9</xdr:col>
      <xdr:colOff>264996</xdr:colOff>
      <xdr:row>25</xdr:row>
      <xdr:rowOff>97064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5AB2A05-BCE1-43C5-B742-AAFB9EEC27A3}"/>
            </a:ext>
          </a:extLst>
        </xdr:cNvPr>
        <xdr:cNvSpPr/>
      </xdr:nvSpPr>
      <xdr:spPr>
        <a:xfrm>
          <a:off x="3051396" y="2881731"/>
          <a:ext cx="2700000" cy="18720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9</xdr:col>
      <xdr:colOff>429266</xdr:colOff>
      <xdr:row>15</xdr:row>
      <xdr:rowOff>87731</xdr:rowOff>
    </xdr:from>
    <xdr:to>
      <xdr:col>14</xdr:col>
      <xdr:colOff>81266</xdr:colOff>
      <xdr:row>25</xdr:row>
      <xdr:rowOff>97064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EB1F1E8B-1698-4EFF-97D7-F121388C9703}"/>
            </a:ext>
          </a:extLst>
        </xdr:cNvPr>
        <xdr:cNvSpPr/>
      </xdr:nvSpPr>
      <xdr:spPr>
        <a:xfrm>
          <a:off x="5915666" y="2881731"/>
          <a:ext cx="2700000" cy="18720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33867</xdr:colOff>
      <xdr:row>4</xdr:row>
      <xdr:rowOff>110066</xdr:rowOff>
    </xdr:from>
    <xdr:to>
      <xdr:col>9</xdr:col>
      <xdr:colOff>245533</xdr:colOff>
      <xdr:row>14</xdr:row>
      <xdr:rowOff>8467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7C79288A-ABC0-4A10-BDC8-617248CCA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452130</xdr:colOff>
      <xdr:row>4</xdr:row>
      <xdr:rowOff>101600</xdr:rowOff>
    </xdr:from>
    <xdr:to>
      <xdr:col>14</xdr:col>
      <xdr:colOff>8468</xdr:colOff>
      <xdr:row>14</xdr:row>
      <xdr:rowOff>67734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124343CD-5446-4194-9E66-BD4E9E8D6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429266</xdr:colOff>
      <xdr:row>4</xdr:row>
      <xdr:rowOff>84664</xdr:rowOff>
    </xdr:from>
    <xdr:to>
      <xdr:col>12</xdr:col>
      <xdr:colOff>90599</xdr:colOff>
      <xdr:row>5</xdr:row>
      <xdr:rowOff>135465</xdr:rowOff>
    </xdr:to>
    <xdr:sp macro="" textlink="">
      <xdr:nvSpPr>
        <xdr:cNvPr id="86" name="TextBox 1">
          <a:extLst>
            <a:ext uri="{FF2B5EF4-FFF2-40B4-BE49-F238E27FC236}">
              <a16:creationId xmlns:a16="http://schemas.microsoft.com/office/drawing/2014/main" id="{5A21D8C8-B036-4C67-8FE6-E818C1C0040F}"/>
            </a:ext>
          </a:extLst>
        </xdr:cNvPr>
        <xdr:cNvSpPr txBox="1"/>
      </xdr:nvSpPr>
      <xdr:spPr>
        <a:xfrm>
          <a:off x="5915666" y="829731"/>
          <a:ext cx="1490133" cy="237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Bounce &amp; Exit Rate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5</xdr:col>
      <xdr:colOff>33866</xdr:colOff>
      <xdr:row>15</xdr:row>
      <xdr:rowOff>110066</xdr:rowOff>
    </xdr:from>
    <xdr:to>
      <xdr:col>9</xdr:col>
      <xdr:colOff>211667</xdr:colOff>
      <xdr:row>25</xdr:row>
      <xdr:rowOff>25399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DD63D966-1428-4B28-B220-C6EAEF2A7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3397</xdr:colOff>
      <xdr:row>15</xdr:row>
      <xdr:rowOff>87731</xdr:rowOff>
    </xdr:from>
    <xdr:to>
      <xdr:col>7</xdr:col>
      <xdr:colOff>274330</xdr:colOff>
      <xdr:row>16</xdr:row>
      <xdr:rowOff>138531</xdr:rowOff>
    </xdr:to>
    <xdr:sp macro="" textlink="">
      <xdr:nvSpPr>
        <xdr:cNvPr id="88" name="TextBox 1">
          <a:extLst>
            <a:ext uri="{FF2B5EF4-FFF2-40B4-BE49-F238E27FC236}">
              <a16:creationId xmlns:a16="http://schemas.microsoft.com/office/drawing/2014/main" id="{07882780-B603-4488-8CEA-B9191AB6729D}"/>
            </a:ext>
          </a:extLst>
        </xdr:cNvPr>
        <xdr:cNvSpPr txBox="1"/>
      </xdr:nvSpPr>
      <xdr:spPr>
        <a:xfrm>
          <a:off x="3051397" y="2881731"/>
          <a:ext cx="1490133" cy="237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Organic vs. Paid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9</xdr:col>
      <xdr:colOff>482600</xdr:colOff>
      <xdr:row>15</xdr:row>
      <xdr:rowOff>155464</xdr:rowOff>
    </xdr:from>
    <xdr:to>
      <xdr:col>14</xdr:col>
      <xdr:colOff>16934</xdr:colOff>
      <xdr:row>25</xdr:row>
      <xdr:rowOff>16933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A40B5950-E2E8-49CA-AA6A-DB4EC3DD3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429266</xdr:colOff>
      <xdr:row>15</xdr:row>
      <xdr:rowOff>87731</xdr:rowOff>
    </xdr:from>
    <xdr:to>
      <xdr:col>13</xdr:col>
      <xdr:colOff>313267</xdr:colOff>
      <xdr:row>16</xdr:row>
      <xdr:rowOff>160866</xdr:rowOff>
    </xdr:to>
    <xdr:sp macro="" textlink="">
      <xdr:nvSpPr>
        <xdr:cNvPr id="91" name="TextBox 1">
          <a:extLst>
            <a:ext uri="{FF2B5EF4-FFF2-40B4-BE49-F238E27FC236}">
              <a16:creationId xmlns:a16="http://schemas.microsoft.com/office/drawing/2014/main" id="{C9622591-ECD7-4273-B33D-EFCF1E2A9DAC}"/>
            </a:ext>
          </a:extLst>
        </xdr:cNvPr>
        <xdr:cNvSpPr txBox="1"/>
      </xdr:nvSpPr>
      <xdr:spPr>
        <a:xfrm>
          <a:off x="5915666" y="2881731"/>
          <a:ext cx="2322401" cy="259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Direct vs. Social</a:t>
          </a:r>
          <a:r>
            <a:rPr lang="en-US" sz="900" b="1" i="0" u="none" strike="noStrike" baseline="0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 vs. Referral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14</xdr:col>
      <xdr:colOff>287868</xdr:colOff>
      <xdr:row>6</xdr:row>
      <xdr:rowOff>59265</xdr:rowOff>
    </xdr:from>
    <xdr:to>
      <xdr:col>18</xdr:col>
      <xdr:colOff>465666</xdr:colOff>
      <xdr:row>21</xdr:row>
      <xdr:rowOff>135467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AEC02565-6CC0-4A24-AFB2-4144BB9F6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14</xdr:col>
      <xdr:colOff>245535</xdr:colOff>
      <xdr:row>4</xdr:row>
      <xdr:rowOff>84664</xdr:rowOff>
    </xdr:from>
    <xdr:to>
      <xdr:col>16</xdr:col>
      <xdr:colOff>516468</xdr:colOff>
      <xdr:row>5</xdr:row>
      <xdr:rowOff>135465</xdr:rowOff>
    </xdr:to>
    <xdr:sp macro="" textlink="">
      <xdr:nvSpPr>
        <xdr:cNvPr id="95" name="TextBox 1">
          <a:extLst>
            <a:ext uri="{FF2B5EF4-FFF2-40B4-BE49-F238E27FC236}">
              <a16:creationId xmlns:a16="http://schemas.microsoft.com/office/drawing/2014/main" id="{28A15FDA-4B6A-4BDF-AEF9-4D0C25837872}"/>
            </a:ext>
          </a:extLst>
        </xdr:cNvPr>
        <xdr:cNvSpPr txBox="1"/>
      </xdr:nvSpPr>
      <xdr:spPr>
        <a:xfrm>
          <a:off x="8779935" y="829731"/>
          <a:ext cx="1490133" cy="237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Geographic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5</xdr:col>
      <xdr:colOff>3396</xdr:colOff>
      <xdr:row>26</xdr:row>
      <xdr:rowOff>44400</xdr:rowOff>
    </xdr:from>
    <xdr:to>
      <xdr:col>9</xdr:col>
      <xdr:colOff>264996</xdr:colOff>
      <xdr:row>29</xdr:row>
      <xdr:rowOff>50800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B52D68B-FB8F-4943-A604-205624905F17}"/>
            </a:ext>
          </a:extLst>
        </xdr:cNvPr>
        <xdr:cNvSpPr/>
      </xdr:nvSpPr>
      <xdr:spPr>
        <a:xfrm>
          <a:off x="3051396" y="4887333"/>
          <a:ext cx="2700000" cy="5652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406400</xdr:colOff>
      <xdr:row>26</xdr:row>
      <xdr:rowOff>25400</xdr:rowOff>
    </xdr:from>
    <xdr:to>
      <xdr:col>9</xdr:col>
      <xdr:colOff>264996</xdr:colOff>
      <xdr:row>29</xdr:row>
      <xdr:rowOff>30598</xdr:rowOff>
    </xdr:to>
    <xdr:sp macro="" textlink="Sheet1!C34">
      <xdr:nvSpPr>
        <xdr:cNvPr id="84" name="Rectangle 83">
          <a:extLst>
            <a:ext uri="{FF2B5EF4-FFF2-40B4-BE49-F238E27FC236}">
              <a16:creationId xmlns:a16="http://schemas.microsoft.com/office/drawing/2014/main" id="{F874AA1F-D33A-428A-BA81-ECF030E24C77}"/>
            </a:ext>
          </a:extLst>
        </xdr:cNvPr>
        <xdr:cNvSpPr/>
      </xdr:nvSpPr>
      <xdr:spPr>
        <a:xfrm>
          <a:off x="3454400" y="4868333"/>
          <a:ext cx="2296996" cy="56399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>
    <xdr:from>
      <xdr:col>9</xdr:col>
      <xdr:colOff>429266</xdr:colOff>
      <xdr:row>26</xdr:row>
      <xdr:rowOff>44400</xdr:rowOff>
    </xdr:from>
    <xdr:to>
      <xdr:col>14</xdr:col>
      <xdr:colOff>81266</xdr:colOff>
      <xdr:row>29</xdr:row>
      <xdr:rowOff>50800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5EAA3D4E-FE2B-4BD5-8E98-7CFF9F0D28E3}"/>
            </a:ext>
          </a:extLst>
        </xdr:cNvPr>
        <xdr:cNvSpPr/>
      </xdr:nvSpPr>
      <xdr:spPr>
        <a:xfrm>
          <a:off x="5915666" y="4887333"/>
          <a:ext cx="2700000" cy="5652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10</xdr:col>
      <xdr:colOff>237066</xdr:colOff>
      <xdr:row>26</xdr:row>
      <xdr:rowOff>42333</xdr:rowOff>
    </xdr:from>
    <xdr:to>
      <xdr:col>14</xdr:col>
      <xdr:colOff>95662</xdr:colOff>
      <xdr:row>29</xdr:row>
      <xdr:rowOff>47531</xdr:rowOff>
    </xdr:to>
    <xdr:sp macro="" textlink="Sheet1!C34">
      <xdr:nvSpPr>
        <xdr:cNvPr id="98" name="Rectangle 97">
          <a:extLst>
            <a:ext uri="{FF2B5EF4-FFF2-40B4-BE49-F238E27FC236}">
              <a16:creationId xmlns:a16="http://schemas.microsoft.com/office/drawing/2014/main" id="{4D5E1A34-6FC4-4AA2-B3D2-71953AFB2482}"/>
            </a:ext>
          </a:extLst>
        </xdr:cNvPr>
        <xdr:cNvSpPr/>
      </xdr:nvSpPr>
      <xdr:spPr>
        <a:xfrm>
          <a:off x="6333066" y="4885266"/>
          <a:ext cx="2296996" cy="56399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>
    <xdr:from>
      <xdr:col>14</xdr:col>
      <xdr:colOff>245535</xdr:colOff>
      <xdr:row>26</xdr:row>
      <xdr:rowOff>44400</xdr:rowOff>
    </xdr:from>
    <xdr:to>
      <xdr:col>18</xdr:col>
      <xdr:colOff>507135</xdr:colOff>
      <xdr:row>29</xdr:row>
      <xdr:rowOff>50800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85E73794-04C9-45D8-BD03-50EFDB88C4C4}"/>
            </a:ext>
          </a:extLst>
        </xdr:cNvPr>
        <xdr:cNvSpPr/>
      </xdr:nvSpPr>
      <xdr:spPr>
        <a:xfrm>
          <a:off x="8779935" y="4887333"/>
          <a:ext cx="2700000" cy="5652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15</xdr:col>
      <xdr:colOff>42332</xdr:colOff>
      <xdr:row>26</xdr:row>
      <xdr:rowOff>42333</xdr:rowOff>
    </xdr:from>
    <xdr:to>
      <xdr:col>18</xdr:col>
      <xdr:colOff>510528</xdr:colOff>
      <xdr:row>29</xdr:row>
      <xdr:rowOff>47531</xdr:rowOff>
    </xdr:to>
    <xdr:sp macro="" textlink="Sheet1!C34">
      <xdr:nvSpPr>
        <xdr:cNvPr id="100" name="Rectangle 99">
          <a:extLst>
            <a:ext uri="{FF2B5EF4-FFF2-40B4-BE49-F238E27FC236}">
              <a16:creationId xmlns:a16="http://schemas.microsoft.com/office/drawing/2014/main" id="{4F461485-54BD-46CD-932D-D2C2B10CE838}"/>
            </a:ext>
          </a:extLst>
        </xdr:cNvPr>
        <xdr:cNvSpPr/>
      </xdr:nvSpPr>
      <xdr:spPr>
        <a:xfrm>
          <a:off x="9186332" y="4885266"/>
          <a:ext cx="2296996" cy="56399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 editAs="oneCell">
    <xdr:from>
      <xdr:col>14</xdr:col>
      <xdr:colOff>296334</xdr:colOff>
      <xdr:row>26</xdr:row>
      <xdr:rowOff>85300</xdr:rowOff>
    </xdr:from>
    <xdr:to>
      <xdr:col>15</xdr:col>
      <xdr:colOff>118734</xdr:colOff>
      <xdr:row>28</xdr:row>
      <xdr:rowOff>144766</xdr:rowOff>
    </xdr:to>
    <xdr:pic>
      <xdr:nvPicPr>
        <xdr:cNvPr id="102" name="Graphic 101" descr="Magnifying glass with solid fill">
          <a:extLst>
            <a:ext uri="{FF2B5EF4-FFF2-40B4-BE49-F238E27FC236}">
              <a16:creationId xmlns:a16="http://schemas.microsoft.com/office/drawing/2014/main" id="{094A4678-CFCE-4D74-91E7-39039EEC0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8830734" y="4928233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9</xdr:col>
      <xdr:colOff>463266</xdr:colOff>
      <xdr:row>26</xdr:row>
      <xdr:rowOff>85300</xdr:rowOff>
    </xdr:from>
    <xdr:to>
      <xdr:col>10</xdr:col>
      <xdr:colOff>285666</xdr:colOff>
      <xdr:row>28</xdr:row>
      <xdr:rowOff>144766</xdr:rowOff>
    </xdr:to>
    <xdr:pic>
      <xdr:nvPicPr>
        <xdr:cNvPr id="104" name="Graphic 103" descr="Stopwatch with solid fill">
          <a:extLst>
            <a:ext uri="{FF2B5EF4-FFF2-40B4-BE49-F238E27FC236}">
              <a16:creationId xmlns:a16="http://schemas.microsoft.com/office/drawing/2014/main" id="{39E4802E-745D-46B7-964E-F12341741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949666" y="4928233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5</xdr:col>
      <xdr:colOff>37533</xdr:colOff>
      <xdr:row>26</xdr:row>
      <xdr:rowOff>85300</xdr:rowOff>
    </xdr:from>
    <xdr:to>
      <xdr:col>5</xdr:col>
      <xdr:colOff>469533</xdr:colOff>
      <xdr:row>28</xdr:row>
      <xdr:rowOff>144766</xdr:rowOff>
    </xdr:to>
    <xdr:pic>
      <xdr:nvPicPr>
        <xdr:cNvPr id="106" name="Graphic 105" descr="Target with solid fill">
          <a:extLst>
            <a:ext uri="{FF2B5EF4-FFF2-40B4-BE49-F238E27FC236}">
              <a16:creationId xmlns:a16="http://schemas.microsoft.com/office/drawing/2014/main" id="{6576B5A1-B012-4593-9730-9D275326A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085533" y="4928233"/>
          <a:ext cx="432000" cy="43200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0.5623</cdr:x>
      <cdr:y>0.13462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2E76224-4259-4765-84E6-3257CF3C8504}"/>
            </a:ext>
          </a:extLst>
        </cdr:cNvPr>
        <cdr:cNvSpPr txBox="1"/>
      </cdr:nvSpPr>
      <cdr:spPr>
        <a:xfrm xmlns:a="http://schemas.openxmlformats.org/drawingml/2006/main">
          <a:off x="0" y="0"/>
          <a:ext cx="1490133" cy="2370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Visits &amp; Page Views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0.40129</cdr:x>
      <cdr:y>0.31858</cdr:y>
    </cdr:from>
    <cdr:to>
      <cdr:x>0.6343</cdr:x>
      <cdr:y>0.47788</cdr:y>
    </cdr:to>
    <cdr:sp macro="" textlink="Sheet1!$K$2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E1C86C3-B2A4-4F9D-8360-D346246A2FDB}"/>
            </a:ext>
          </a:extLst>
        </cdr:cNvPr>
        <cdr:cNvSpPr txBox="1"/>
      </cdr:nvSpPr>
      <cdr:spPr>
        <a:xfrm xmlns:a="http://schemas.openxmlformats.org/drawingml/2006/main">
          <a:off x="1049866" y="914402"/>
          <a:ext cx="609599" cy="4571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none" rtlCol="0" anchor="t"/>
        <a:lstStyle xmlns:a="http://schemas.openxmlformats.org/drawingml/2006/main"/>
        <a:p xmlns:a="http://schemas.openxmlformats.org/drawingml/2006/main">
          <a:pPr algn="l"/>
          <a:fld id="{BC0EC81A-FA5F-4201-8621-48F2F5E1632F}" type="TxLink">
            <a:rPr lang="en-US" sz="900" b="1" i="0" u="none" strike="noStrike">
              <a:solidFill>
                <a:srgbClr val="000000"/>
              </a:solidFill>
              <a:latin typeface="Montserrat"/>
              <a:cs typeface="Calibri"/>
            </a:rPr>
            <a:t>Japan
34000</a:t>
          </a:fld>
          <a:endParaRPr lang="uk-UA" sz="1000" b="1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292799</xdr:colOff>
      <xdr:row>1</xdr:row>
      <xdr:rowOff>145095</xdr:rowOff>
    </xdr:from>
    <xdr:to>
      <xdr:col>7</xdr:col>
      <xdr:colOff>433911</xdr:colOff>
      <xdr:row>37</xdr:row>
      <xdr:rowOff>47316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5459CB60-C02E-41E5-A5E1-F17D4A65D62A}"/>
            </a:ext>
          </a:extLst>
        </xdr:cNvPr>
        <xdr:cNvSpPr/>
      </xdr:nvSpPr>
      <xdr:spPr>
        <a:xfrm rot="5721033">
          <a:off x="-745996" y="1366770"/>
          <a:ext cx="6485901" cy="4408312"/>
        </a:xfrm>
        <a:custGeom>
          <a:avLst/>
          <a:gdLst>
            <a:gd name="connsiteX0" fmla="*/ 6438714 w 6485901"/>
            <a:gd name="connsiteY0" fmla="*/ 900976 h 4850272"/>
            <a:gd name="connsiteX1" fmla="*/ 98874 w 6485901"/>
            <a:gd name="connsiteY1" fmla="*/ 306616 h 4850272"/>
            <a:gd name="connsiteX2" fmla="*/ 2842074 w 6485901"/>
            <a:gd name="connsiteY2" fmla="*/ 4848136 h 4850272"/>
            <a:gd name="connsiteX3" fmla="*/ 6438714 w 6485901"/>
            <a:gd name="connsiteY3" fmla="*/ 900976 h 48502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485901" h="4850272">
              <a:moveTo>
                <a:pt x="6438714" y="900976"/>
              </a:moveTo>
              <a:cubicBezTo>
                <a:pt x="5981514" y="144056"/>
                <a:pt x="698314" y="-351244"/>
                <a:pt x="98874" y="306616"/>
              </a:cubicBezTo>
              <a:cubicBezTo>
                <a:pt x="-500566" y="964476"/>
                <a:pt x="1777814" y="4750346"/>
                <a:pt x="2842074" y="4848136"/>
              </a:cubicBezTo>
              <a:cubicBezTo>
                <a:pt x="3906334" y="4945926"/>
                <a:pt x="6895914" y="1657896"/>
                <a:pt x="6438714" y="900976"/>
              </a:cubicBezTo>
              <a:close/>
            </a:path>
          </a:pathLst>
        </a:custGeom>
        <a:solidFill>
          <a:srgbClr val="5A7D7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7</xdr:col>
      <xdr:colOff>260256</xdr:colOff>
      <xdr:row>4</xdr:row>
      <xdr:rowOff>94913</xdr:rowOff>
    </xdr:from>
    <xdr:to>
      <xdr:col>27</xdr:col>
      <xdr:colOff>605135</xdr:colOff>
      <xdr:row>39</xdr:row>
      <xdr:rowOff>176882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F50FE43C-A54E-46FD-80D7-556230351EFC}"/>
            </a:ext>
          </a:extLst>
        </xdr:cNvPr>
        <xdr:cNvSpPr/>
      </xdr:nvSpPr>
      <xdr:spPr>
        <a:xfrm rot="293933">
          <a:off x="4527456" y="826433"/>
          <a:ext cx="12536879" cy="6482769"/>
        </a:xfrm>
        <a:custGeom>
          <a:avLst/>
          <a:gdLst>
            <a:gd name="connsiteX0" fmla="*/ 6438714 w 6485901"/>
            <a:gd name="connsiteY0" fmla="*/ 900976 h 4850272"/>
            <a:gd name="connsiteX1" fmla="*/ 98874 w 6485901"/>
            <a:gd name="connsiteY1" fmla="*/ 306616 h 4850272"/>
            <a:gd name="connsiteX2" fmla="*/ 2842074 w 6485901"/>
            <a:gd name="connsiteY2" fmla="*/ 4848136 h 4850272"/>
            <a:gd name="connsiteX3" fmla="*/ 6438714 w 6485901"/>
            <a:gd name="connsiteY3" fmla="*/ 900976 h 48502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485901" h="4850272">
              <a:moveTo>
                <a:pt x="6438714" y="900976"/>
              </a:moveTo>
              <a:cubicBezTo>
                <a:pt x="5981514" y="144056"/>
                <a:pt x="698314" y="-351244"/>
                <a:pt x="98874" y="306616"/>
              </a:cubicBezTo>
              <a:cubicBezTo>
                <a:pt x="-500566" y="964476"/>
                <a:pt x="1777814" y="4750346"/>
                <a:pt x="2842074" y="4848136"/>
              </a:cubicBezTo>
              <a:cubicBezTo>
                <a:pt x="3906334" y="4945926"/>
                <a:pt x="6895914" y="1657896"/>
                <a:pt x="6438714" y="900976"/>
              </a:cubicBezTo>
              <a:close/>
            </a:path>
          </a:pathLst>
        </a:custGeom>
        <a:solidFill>
          <a:srgbClr val="B5B2C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419100</xdr:colOff>
      <xdr:row>0</xdr:row>
      <xdr:rowOff>183727</xdr:rowOff>
    </xdr:from>
    <xdr:to>
      <xdr:col>19</xdr:col>
      <xdr:colOff>0</xdr:colOff>
      <xdr:row>29</xdr:row>
      <xdr:rowOff>135467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139D2E0-B807-4424-A03E-F05CB7F433BB}"/>
            </a:ext>
          </a:extLst>
        </xdr:cNvPr>
        <xdr:cNvSpPr/>
      </xdr:nvSpPr>
      <xdr:spPr>
        <a:xfrm>
          <a:off x="1028700" y="183727"/>
          <a:ext cx="10553700" cy="52552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441960</xdr:colOff>
      <xdr:row>3</xdr:row>
      <xdr:rowOff>167640</xdr:rowOff>
    </xdr:from>
    <xdr:to>
      <xdr:col>19</xdr:col>
      <xdr:colOff>0</xdr:colOff>
      <xdr:row>29</xdr:row>
      <xdr:rowOff>135467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2A5192C-6CE3-473A-9E3B-DAB320643BA2}"/>
            </a:ext>
          </a:extLst>
        </xdr:cNvPr>
        <xdr:cNvSpPr/>
      </xdr:nvSpPr>
      <xdr:spPr>
        <a:xfrm>
          <a:off x="1661160" y="716280"/>
          <a:ext cx="9921240" cy="472270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474133</xdr:colOff>
      <xdr:row>12</xdr:row>
      <xdr:rowOff>169334</xdr:rowOff>
    </xdr:from>
    <xdr:to>
      <xdr:col>2</xdr:col>
      <xdr:colOff>412300</xdr:colOff>
      <xdr:row>15</xdr:row>
      <xdr:rowOff>127000</xdr:rowOff>
    </xdr:to>
    <xdr:sp macro="" textlink="">
      <xdr:nvSpPr>
        <xdr:cNvPr id="6" name="Pentagon 5">
          <a:extLst>
            <a:ext uri="{FF2B5EF4-FFF2-40B4-BE49-F238E27FC236}">
              <a16:creationId xmlns:a16="http://schemas.microsoft.com/office/drawing/2014/main" id="{CD135063-18B2-4AF0-9732-399F8737D83D}"/>
            </a:ext>
          </a:extLst>
        </xdr:cNvPr>
        <xdr:cNvSpPr>
          <a:spLocks noChangeAspect="1"/>
        </xdr:cNvSpPr>
      </xdr:nvSpPr>
      <xdr:spPr>
        <a:xfrm>
          <a:off x="1083733" y="2404534"/>
          <a:ext cx="547767" cy="516466"/>
        </a:xfrm>
        <a:prstGeom prst="pentagon">
          <a:avLst/>
        </a:prstGeom>
        <a:solidFill>
          <a:srgbClr val="DADF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528600</xdr:colOff>
      <xdr:row>9</xdr:row>
      <xdr:rowOff>168200</xdr:rowOff>
    </xdr:from>
    <xdr:to>
      <xdr:col>2</xdr:col>
      <xdr:colOff>351000</xdr:colOff>
      <xdr:row>25</xdr:row>
      <xdr:rowOff>82466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B4C46DAE-545E-4759-9696-5D3E722242EA}"/>
            </a:ext>
          </a:extLst>
        </xdr:cNvPr>
        <xdr:cNvGrpSpPr/>
      </xdr:nvGrpSpPr>
      <xdr:grpSpPr>
        <a:xfrm>
          <a:off x="1138200" y="1844600"/>
          <a:ext cx="432000" cy="2894533"/>
          <a:chOff x="2391267" y="1268866"/>
          <a:chExt cx="432000" cy="2894533"/>
        </a:xfrm>
      </xdr:grpSpPr>
      <xdr:pic>
        <xdr:nvPicPr>
          <xdr:cNvPr id="8" name="Graphic 7" descr="Cow with solid fill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6CD6FCBB-E138-49AF-9E65-640BF14DAA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391267" y="2500132"/>
            <a:ext cx="432000" cy="432000"/>
          </a:xfrm>
          <a:prstGeom prst="rect">
            <a:avLst/>
          </a:prstGeom>
        </xdr:spPr>
      </xdr:pic>
      <xdr:pic>
        <xdr:nvPicPr>
          <xdr:cNvPr id="9" name="Graphic 8" descr="Fish with solid fill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8B7CC45-C01A-424F-8B6F-1FB29C1051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391267" y="3731399"/>
            <a:ext cx="432000" cy="432000"/>
          </a:xfrm>
          <a:prstGeom prst="rect">
            <a:avLst/>
          </a:prstGeom>
        </xdr:spPr>
      </xdr:pic>
      <xdr:pic>
        <xdr:nvPicPr>
          <xdr:cNvPr id="10" name="Graphic 9" descr="Peacock with solid fill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39538600-F904-4E8A-9EF8-649D365F62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2391267" y="3115765"/>
            <a:ext cx="432000" cy="432000"/>
          </a:xfrm>
          <a:prstGeom prst="rect">
            <a:avLst/>
          </a:prstGeom>
        </xdr:spPr>
      </xdr:pic>
      <xdr:pic>
        <xdr:nvPicPr>
          <xdr:cNvPr id="11" name="Graphic 10" descr="Pig with solid fill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3B358C89-FB83-4580-835D-91953956CC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2391267" y="1884499"/>
            <a:ext cx="432000" cy="432000"/>
          </a:xfrm>
          <a:prstGeom prst="rect">
            <a:avLst/>
          </a:prstGeom>
        </xdr:spPr>
      </xdr:pic>
      <xdr:pic>
        <xdr:nvPicPr>
          <xdr:cNvPr id="12" name="Graphic 11" descr="Open hand with plant with solid fill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A7D9B2F4-CECE-46FE-8320-FCBD09A746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2391267" y="1268866"/>
            <a:ext cx="432000" cy="4320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270933</xdr:colOff>
      <xdr:row>1</xdr:row>
      <xdr:rowOff>97369</xdr:rowOff>
    </xdr:from>
    <xdr:to>
      <xdr:col>16</xdr:col>
      <xdr:colOff>254000</xdr:colOff>
      <xdr:row>3</xdr:row>
      <xdr:rowOff>38102</xdr:rowOff>
    </xdr:to>
    <xdr:sp macro="" textlink="Sheet1!B2">
      <xdr:nvSpPr>
        <xdr:cNvPr id="13" name="Rectangle: Rounded Corners 12">
          <a:extLst>
            <a:ext uri="{FF2B5EF4-FFF2-40B4-BE49-F238E27FC236}">
              <a16:creationId xmlns:a16="http://schemas.microsoft.com/office/drawing/2014/main" id="{A2F57B2F-473C-4F8F-99D3-D87226131694}"/>
            </a:ext>
          </a:extLst>
        </xdr:cNvPr>
        <xdr:cNvSpPr/>
      </xdr:nvSpPr>
      <xdr:spPr>
        <a:xfrm>
          <a:off x="8805333" y="280249"/>
          <a:ext cx="1202267" cy="306493"/>
        </a:xfrm>
        <a:prstGeom prst="roundRect">
          <a:avLst/>
        </a:prstGeom>
        <a:gradFill>
          <a:gsLst>
            <a:gs pos="0">
              <a:srgbClr val="B5B2C2"/>
            </a:gs>
            <a:gs pos="82000">
              <a:srgbClr val="DADFF7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489C72C-F7AE-46F1-A8C1-2895165DC592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+mn-cs"/>
            </a:rPr>
            <a:pPr marL="0" indent="0" algn="ctr"/>
            <a:t>1st Jun - 15th Sep</a:t>
          </a:fld>
          <a:endParaRPr lang="uk-UA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414865</xdr:colOff>
      <xdr:row>1</xdr:row>
      <xdr:rowOff>169337</xdr:rowOff>
    </xdr:from>
    <xdr:to>
      <xdr:col>7</xdr:col>
      <xdr:colOff>126998</xdr:colOff>
      <xdr:row>3</xdr:row>
      <xdr:rowOff>93137</xdr:rowOff>
    </xdr:to>
    <xdr:sp macro="" textlink="Sheet1!B1">
      <xdr:nvSpPr>
        <xdr:cNvPr id="14" name="TextBox 13">
          <a:extLst>
            <a:ext uri="{FF2B5EF4-FFF2-40B4-BE49-F238E27FC236}">
              <a16:creationId xmlns:a16="http://schemas.microsoft.com/office/drawing/2014/main" id="{C4AE79A0-5018-40D7-A489-644B361C2373}"/>
            </a:ext>
          </a:extLst>
        </xdr:cNvPr>
        <xdr:cNvSpPr txBox="1"/>
      </xdr:nvSpPr>
      <xdr:spPr>
        <a:xfrm>
          <a:off x="1634065" y="352217"/>
          <a:ext cx="2760133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1D20AF4D-F9E7-42F8-9A00-3FBA50A82B68}" type="TxLink">
            <a:rPr lang="en-US" sz="1100" b="0" i="0" u="none" strike="noStrike">
              <a:solidFill>
                <a:srgbClr val="232C33"/>
              </a:solidFill>
              <a:latin typeface="Montserrat medium" panose="00000600000000000000" pitchFamily="2" charset="-52"/>
              <a:cs typeface="Calibri"/>
            </a:rPr>
            <a:t>Performance Analytics Dashboard</a:t>
          </a:fld>
          <a:endParaRPr lang="uk-UA" sz="1100" b="0" i="0" u="none" strike="noStrike">
            <a:solidFill>
              <a:srgbClr val="232C33"/>
            </a:solidFill>
            <a:latin typeface="Montserrat medium" panose="00000600000000000000" pitchFamily="2" charset="-52"/>
            <a:cs typeface="Calibri"/>
          </a:endParaRPr>
        </a:p>
      </xdr:txBody>
    </xdr:sp>
    <xdr:clientData/>
  </xdr:twoCellAnchor>
  <xdr:twoCellAnchor>
    <xdr:from>
      <xdr:col>1</xdr:col>
      <xdr:colOff>499534</xdr:colOff>
      <xdr:row>1</xdr:row>
      <xdr:rowOff>8468</xdr:rowOff>
    </xdr:from>
    <xdr:to>
      <xdr:col>2</xdr:col>
      <xdr:colOff>357934</xdr:colOff>
      <xdr:row>4</xdr:row>
      <xdr:rowOff>26392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355C9BB1-BA9D-4643-ABFB-E7505B50463B}"/>
            </a:ext>
          </a:extLst>
        </xdr:cNvPr>
        <xdr:cNvGrpSpPr/>
      </xdr:nvGrpSpPr>
      <xdr:grpSpPr>
        <a:xfrm>
          <a:off x="1109134" y="194735"/>
          <a:ext cx="468000" cy="576724"/>
          <a:chOff x="1041400" y="186269"/>
          <a:chExt cx="468000" cy="576724"/>
        </a:xfrm>
      </xdr:grpSpPr>
      <xdr:sp macro="" textlink="">
        <xdr:nvSpPr>
          <xdr:cNvPr id="16" name="Pentagon 15">
            <a:extLst>
              <a:ext uri="{FF2B5EF4-FFF2-40B4-BE49-F238E27FC236}">
                <a16:creationId xmlns:a16="http://schemas.microsoft.com/office/drawing/2014/main" id="{AAC71F90-F094-4EC4-9A26-30BFF0D6B226}"/>
              </a:ext>
            </a:extLst>
          </xdr:cNvPr>
          <xdr:cNvSpPr>
            <a:spLocks noChangeAspect="1"/>
          </xdr:cNvSpPr>
        </xdr:nvSpPr>
        <xdr:spPr>
          <a:xfrm>
            <a:off x="1041400" y="186269"/>
            <a:ext cx="468000" cy="441257"/>
          </a:xfrm>
          <a:prstGeom prst="pentagon">
            <a:avLst/>
          </a:prstGeom>
          <a:solidFill>
            <a:srgbClr val="DADF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uk-UA" sz="1100"/>
          </a:p>
        </xdr:txBody>
      </xdr:sp>
      <xdr:sp macro="" textlink="">
        <xdr:nvSpPr>
          <xdr:cNvPr id="17" name="Pentagon 16">
            <a:extLst>
              <a:ext uri="{FF2B5EF4-FFF2-40B4-BE49-F238E27FC236}">
                <a16:creationId xmlns:a16="http://schemas.microsoft.com/office/drawing/2014/main" id="{E7693315-79F0-4CAF-901C-E8F5B8931435}"/>
              </a:ext>
            </a:extLst>
          </xdr:cNvPr>
          <xdr:cNvSpPr>
            <a:spLocks noChangeAspect="1"/>
          </xdr:cNvSpPr>
        </xdr:nvSpPr>
        <xdr:spPr>
          <a:xfrm>
            <a:off x="1041400" y="321736"/>
            <a:ext cx="468000" cy="441257"/>
          </a:xfrm>
          <a:prstGeom prst="pentagon">
            <a:avLst/>
          </a:prstGeom>
          <a:gradFill>
            <a:gsLst>
              <a:gs pos="0">
                <a:srgbClr val="B5B2C2"/>
              </a:gs>
              <a:gs pos="82000">
                <a:srgbClr val="DADFF7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uk-UA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16</xdr:col>
      <xdr:colOff>431799</xdr:colOff>
      <xdr:row>1</xdr:row>
      <xdr:rowOff>97369</xdr:rowOff>
    </xdr:from>
    <xdr:to>
      <xdr:col>18</xdr:col>
      <xdr:colOff>414866</xdr:colOff>
      <xdr:row>3</xdr:row>
      <xdr:rowOff>38102</xdr:rowOff>
    </xdr:to>
    <xdr:sp macro="" textlink="Sheet1!B3">
      <xdr:nvSpPr>
        <xdr:cNvPr id="18" name="Rectangle: Rounded Corners 17">
          <a:extLst>
            <a:ext uri="{FF2B5EF4-FFF2-40B4-BE49-F238E27FC236}">
              <a16:creationId xmlns:a16="http://schemas.microsoft.com/office/drawing/2014/main" id="{F895A297-57AA-47BE-9534-463BD09D32DA}"/>
            </a:ext>
          </a:extLst>
        </xdr:cNvPr>
        <xdr:cNvSpPr/>
      </xdr:nvSpPr>
      <xdr:spPr>
        <a:xfrm>
          <a:off x="10185399" y="280249"/>
          <a:ext cx="1202267" cy="306493"/>
        </a:xfrm>
        <a:prstGeom prst="roundRect">
          <a:avLst/>
        </a:prstGeom>
        <a:gradFill>
          <a:gsLst>
            <a:gs pos="0">
              <a:srgbClr val="B5B2C2"/>
            </a:gs>
            <a:gs pos="82000">
              <a:srgbClr val="DADFF7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2BEB51A-761D-41EC-B59A-E835EA583929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+mn-cs"/>
            </a:rPr>
            <a:pPr marL="0" indent="0" algn="ctr"/>
            <a:t>Quarterly Report</a:t>
          </a:fld>
          <a:endParaRPr lang="uk-UA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25395</xdr:colOff>
      <xdr:row>4</xdr:row>
      <xdr:rowOff>84664</xdr:rowOff>
    </xdr:from>
    <xdr:to>
      <xdr:col>4</xdr:col>
      <xdr:colOff>448728</xdr:colOff>
      <xdr:row>29</xdr:row>
      <xdr:rowOff>50800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B4F1318-16DB-4156-A970-77CE5CAD2CB1}"/>
            </a:ext>
          </a:extLst>
        </xdr:cNvPr>
        <xdr:cNvSpPr/>
      </xdr:nvSpPr>
      <xdr:spPr>
        <a:xfrm>
          <a:off x="1854195" y="816184"/>
          <a:ext cx="1032933" cy="4538136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465665</xdr:colOff>
      <xdr:row>13</xdr:row>
      <xdr:rowOff>76199</xdr:rowOff>
    </xdr:from>
    <xdr:to>
      <xdr:col>2</xdr:col>
      <xdr:colOff>519665</xdr:colOff>
      <xdr:row>15</xdr:row>
      <xdr:rowOff>143933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31B77D28-4412-48A7-A87E-3F8844458741}"/>
            </a:ext>
          </a:extLst>
        </xdr:cNvPr>
        <xdr:cNvSpPr/>
      </xdr:nvSpPr>
      <xdr:spPr>
        <a:xfrm>
          <a:off x="1684865" y="2497666"/>
          <a:ext cx="54000" cy="440267"/>
        </a:xfrm>
        <a:prstGeom prst="roundRect">
          <a:avLst/>
        </a:prstGeom>
        <a:solidFill>
          <a:srgbClr val="DADF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3</xdr:col>
      <xdr:colOff>110065</xdr:colOff>
      <xdr:row>4</xdr:row>
      <xdr:rowOff>152396</xdr:rowOff>
    </xdr:from>
    <xdr:to>
      <xdr:col>4</xdr:col>
      <xdr:colOff>524932</xdr:colOff>
      <xdr:row>6</xdr:row>
      <xdr:rowOff>118530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637BFF25-B252-47D6-860C-7F5B4BEED35E}"/>
            </a:ext>
          </a:extLst>
        </xdr:cNvPr>
        <xdr:cNvGrpSpPr/>
      </xdr:nvGrpSpPr>
      <xdr:grpSpPr>
        <a:xfrm>
          <a:off x="1938865" y="897463"/>
          <a:ext cx="1024467" cy="338667"/>
          <a:chOff x="2057401" y="982133"/>
          <a:chExt cx="1024467" cy="338667"/>
        </a:xfrm>
      </xdr:grpSpPr>
      <xdr:sp macro="" textlink="Sheet1!C21">
        <xdr:nvSpPr>
          <xdr:cNvPr id="22" name="TextBox 21">
            <a:extLst>
              <a:ext uri="{FF2B5EF4-FFF2-40B4-BE49-F238E27FC236}">
                <a16:creationId xmlns:a16="http://schemas.microsoft.com/office/drawing/2014/main" id="{E48D1140-2E94-4B6C-8B99-B35E89810E88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E8F972BE-4DBE-4781-B5A1-1E644F888CF7}" type="TxLink">
              <a:rPr lang="en-US" sz="800" b="0" i="0" u="none" strike="noStrike">
                <a:solidFill>
                  <a:srgbClr val="232C33"/>
                </a:solidFill>
                <a:latin typeface="Montserrat"/>
                <a:cs typeface="Calibri"/>
              </a:rPr>
              <a:t>Visits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1">
        <xdr:nvSpPr>
          <xdr:cNvPr id="23" name="TextBox 22">
            <a:extLst>
              <a:ext uri="{FF2B5EF4-FFF2-40B4-BE49-F238E27FC236}">
                <a16:creationId xmlns:a16="http://schemas.microsoft.com/office/drawing/2014/main" id="{4E0321F1-2501-4B2F-8B7C-A0C5CC6482AD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827F006B-0E32-4739-BFB6-0681DADFAFBC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65 800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7</xdr:row>
      <xdr:rowOff>51737</xdr:rowOff>
    </xdr:from>
    <xdr:to>
      <xdr:col>4</xdr:col>
      <xdr:colOff>524932</xdr:colOff>
      <xdr:row>9</xdr:row>
      <xdr:rowOff>17871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958A5A26-94E1-409F-B79D-3399EF8CAB69}"/>
            </a:ext>
          </a:extLst>
        </xdr:cNvPr>
        <xdr:cNvGrpSpPr/>
      </xdr:nvGrpSpPr>
      <xdr:grpSpPr>
        <a:xfrm>
          <a:off x="1938865" y="1355604"/>
          <a:ext cx="1024467" cy="338667"/>
          <a:chOff x="2057401" y="982133"/>
          <a:chExt cx="1024467" cy="338667"/>
        </a:xfrm>
      </xdr:grpSpPr>
      <xdr:sp macro="" textlink="Sheet1!C22">
        <xdr:nvSpPr>
          <xdr:cNvPr id="25" name="TextBox 24">
            <a:extLst>
              <a:ext uri="{FF2B5EF4-FFF2-40B4-BE49-F238E27FC236}">
                <a16:creationId xmlns:a16="http://schemas.microsoft.com/office/drawing/2014/main" id="{6D7CD360-A5D3-4091-9E39-E0649B632515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CD7EBB09-ED16-4DF8-B22B-3F39D09920D8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Page Views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2">
        <xdr:nvSpPr>
          <xdr:cNvPr id="26" name="TextBox 25">
            <a:extLst>
              <a:ext uri="{FF2B5EF4-FFF2-40B4-BE49-F238E27FC236}">
                <a16:creationId xmlns:a16="http://schemas.microsoft.com/office/drawing/2014/main" id="{BA34CE2D-FCE7-4A20-9E43-C51A1E1092E7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BD2C5464-BA9D-4BBD-B781-0CAD6312CFD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100 480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12</xdr:row>
      <xdr:rowOff>36686</xdr:rowOff>
    </xdr:from>
    <xdr:to>
      <xdr:col>4</xdr:col>
      <xdr:colOff>524932</xdr:colOff>
      <xdr:row>14</xdr:row>
      <xdr:rowOff>2820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CA7CF9F4-DBE0-4AB3-A089-0952D72022CE}"/>
            </a:ext>
          </a:extLst>
        </xdr:cNvPr>
        <xdr:cNvGrpSpPr/>
      </xdr:nvGrpSpPr>
      <xdr:grpSpPr>
        <a:xfrm>
          <a:off x="1938865" y="2271886"/>
          <a:ext cx="1024467" cy="338667"/>
          <a:chOff x="2057401" y="982133"/>
          <a:chExt cx="1024467" cy="338667"/>
        </a:xfrm>
      </xdr:grpSpPr>
      <xdr:sp macro="" textlink="Sheet1!C24">
        <xdr:nvSpPr>
          <xdr:cNvPr id="28" name="TextBox 27">
            <a:extLst>
              <a:ext uri="{FF2B5EF4-FFF2-40B4-BE49-F238E27FC236}">
                <a16:creationId xmlns:a16="http://schemas.microsoft.com/office/drawing/2014/main" id="{EF8C19B8-E42F-42DA-A659-A0050FFA9783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5D1171C4-F89D-4EED-9A67-166015A6784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Exit Rate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4">
        <xdr:nvSpPr>
          <xdr:cNvPr id="29" name="TextBox 28">
            <a:extLst>
              <a:ext uri="{FF2B5EF4-FFF2-40B4-BE49-F238E27FC236}">
                <a16:creationId xmlns:a16="http://schemas.microsoft.com/office/drawing/2014/main" id="{93949CCD-1D09-4671-872A-31C11F6EDFF4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EA9F93C-5BFD-4170-82A0-3901DA7DD540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44%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14</xdr:row>
      <xdr:rowOff>122294</xdr:rowOff>
    </xdr:from>
    <xdr:to>
      <xdr:col>4</xdr:col>
      <xdr:colOff>524932</xdr:colOff>
      <xdr:row>16</xdr:row>
      <xdr:rowOff>88427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A2684634-2A83-40ED-9C4C-952B60B8925F}"/>
            </a:ext>
          </a:extLst>
        </xdr:cNvPr>
        <xdr:cNvGrpSpPr/>
      </xdr:nvGrpSpPr>
      <xdr:grpSpPr>
        <a:xfrm>
          <a:off x="1938865" y="2730027"/>
          <a:ext cx="1024467" cy="338667"/>
          <a:chOff x="2057401" y="982133"/>
          <a:chExt cx="1024467" cy="338667"/>
        </a:xfrm>
      </xdr:grpSpPr>
      <xdr:sp macro="" textlink="Sheet1!C25">
        <xdr:nvSpPr>
          <xdr:cNvPr id="31" name="TextBox 30">
            <a:extLst>
              <a:ext uri="{FF2B5EF4-FFF2-40B4-BE49-F238E27FC236}">
                <a16:creationId xmlns:a16="http://schemas.microsoft.com/office/drawing/2014/main" id="{61D24790-0299-460C-AA2A-98CE1D907EFA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4BFED5A9-BD6C-4B75-A128-14BA340D304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Organic Traffic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5">
        <xdr:nvSpPr>
          <xdr:cNvPr id="32" name="TextBox 31">
            <a:extLst>
              <a:ext uri="{FF2B5EF4-FFF2-40B4-BE49-F238E27FC236}">
                <a16:creationId xmlns:a16="http://schemas.microsoft.com/office/drawing/2014/main" id="{AD39E95B-76A0-48C4-90A5-D37D4D362C5C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F79400B-C723-4186-BD3A-811C05F2A073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31 300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17</xdr:row>
      <xdr:rowOff>21635</xdr:rowOff>
    </xdr:from>
    <xdr:to>
      <xdr:col>4</xdr:col>
      <xdr:colOff>524932</xdr:colOff>
      <xdr:row>18</xdr:row>
      <xdr:rowOff>174035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7A3B91CF-3A15-4FB5-B3C6-D7796A3C67BC}"/>
            </a:ext>
          </a:extLst>
        </xdr:cNvPr>
        <xdr:cNvGrpSpPr/>
      </xdr:nvGrpSpPr>
      <xdr:grpSpPr>
        <a:xfrm>
          <a:off x="1938865" y="3188168"/>
          <a:ext cx="1024467" cy="338667"/>
          <a:chOff x="2057401" y="982133"/>
          <a:chExt cx="1024467" cy="338667"/>
        </a:xfrm>
      </xdr:grpSpPr>
      <xdr:sp macro="" textlink="Sheet1!C26">
        <xdr:nvSpPr>
          <xdr:cNvPr id="34" name="TextBox 33">
            <a:extLst>
              <a:ext uri="{FF2B5EF4-FFF2-40B4-BE49-F238E27FC236}">
                <a16:creationId xmlns:a16="http://schemas.microsoft.com/office/drawing/2014/main" id="{56DF3B07-0EA0-4753-BCD9-DC493BAD79A6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1211C3E6-3A3A-4BDF-B05B-283A3808546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Paid Traffic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6">
        <xdr:nvSpPr>
          <xdr:cNvPr id="35" name="TextBox 34">
            <a:extLst>
              <a:ext uri="{FF2B5EF4-FFF2-40B4-BE49-F238E27FC236}">
                <a16:creationId xmlns:a16="http://schemas.microsoft.com/office/drawing/2014/main" id="{05B00B5A-6A05-4E6B-9044-7568555B787D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AF3822E2-8F45-45A3-A0A9-137CD83DF818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7 280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19</xdr:row>
      <xdr:rowOff>107242</xdr:rowOff>
    </xdr:from>
    <xdr:to>
      <xdr:col>4</xdr:col>
      <xdr:colOff>524932</xdr:colOff>
      <xdr:row>21</xdr:row>
      <xdr:rowOff>73376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A7D80598-B4C1-4C2E-A1B4-253E493C7EF7}"/>
            </a:ext>
          </a:extLst>
        </xdr:cNvPr>
        <xdr:cNvGrpSpPr/>
      </xdr:nvGrpSpPr>
      <xdr:grpSpPr>
        <a:xfrm>
          <a:off x="1938865" y="3646309"/>
          <a:ext cx="1024467" cy="338667"/>
          <a:chOff x="2057401" y="982133"/>
          <a:chExt cx="1024467" cy="338667"/>
        </a:xfrm>
      </xdr:grpSpPr>
      <xdr:sp macro="" textlink="Sheet1!C27">
        <xdr:nvSpPr>
          <xdr:cNvPr id="37" name="TextBox 36">
            <a:extLst>
              <a:ext uri="{FF2B5EF4-FFF2-40B4-BE49-F238E27FC236}">
                <a16:creationId xmlns:a16="http://schemas.microsoft.com/office/drawing/2014/main" id="{271C53C7-42B2-480A-A745-A606441C6A3A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CEE23843-822A-4CB9-A810-568B837D8B9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Direct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7">
        <xdr:nvSpPr>
          <xdr:cNvPr id="38" name="TextBox 37">
            <a:extLst>
              <a:ext uri="{FF2B5EF4-FFF2-40B4-BE49-F238E27FC236}">
                <a16:creationId xmlns:a16="http://schemas.microsoft.com/office/drawing/2014/main" id="{52007818-C06A-41E6-A83F-9991F7AA54E3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ECD9853-913F-4973-B0E2-CC02CEF99FAA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7 750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22</xdr:row>
      <xdr:rowOff>6583</xdr:rowOff>
    </xdr:from>
    <xdr:to>
      <xdr:col>4</xdr:col>
      <xdr:colOff>524932</xdr:colOff>
      <xdr:row>23</xdr:row>
      <xdr:rowOff>158984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C5262CD-05F7-44C8-B225-E4163CBFE183}"/>
            </a:ext>
          </a:extLst>
        </xdr:cNvPr>
        <xdr:cNvGrpSpPr/>
      </xdr:nvGrpSpPr>
      <xdr:grpSpPr>
        <a:xfrm>
          <a:off x="1938865" y="4104450"/>
          <a:ext cx="1024467" cy="338667"/>
          <a:chOff x="2057401" y="982133"/>
          <a:chExt cx="1024467" cy="338667"/>
        </a:xfrm>
      </xdr:grpSpPr>
      <xdr:sp macro="" textlink="Sheet1!C28">
        <xdr:nvSpPr>
          <xdr:cNvPr id="40" name="TextBox 39">
            <a:extLst>
              <a:ext uri="{FF2B5EF4-FFF2-40B4-BE49-F238E27FC236}">
                <a16:creationId xmlns:a16="http://schemas.microsoft.com/office/drawing/2014/main" id="{B4B534E7-A0B2-40C5-BCD5-78E737C13D44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95A9C768-8B7C-496E-80EA-AE998DEB5256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Social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8">
        <xdr:nvSpPr>
          <xdr:cNvPr id="41" name="TextBox 40">
            <a:extLst>
              <a:ext uri="{FF2B5EF4-FFF2-40B4-BE49-F238E27FC236}">
                <a16:creationId xmlns:a16="http://schemas.microsoft.com/office/drawing/2014/main" id="{FF66E325-D455-4B7F-9666-CF569D8E6D65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D7D2AB42-D141-4AA0-916A-1D63FFE52F93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2 540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24</xdr:row>
      <xdr:rowOff>92191</xdr:rowOff>
    </xdr:from>
    <xdr:to>
      <xdr:col>4</xdr:col>
      <xdr:colOff>524932</xdr:colOff>
      <xdr:row>26</xdr:row>
      <xdr:rowOff>58325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ACA921BB-5DDB-4ABF-8910-AA41C1C7C181}"/>
            </a:ext>
          </a:extLst>
        </xdr:cNvPr>
        <xdr:cNvGrpSpPr/>
      </xdr:nvGrpSpPr>
      <xdr:grpSpPr>
        <a:xfrm>
          <a:off x="1938865" y="4562591"/>
          <a:ext cx="1024467" cy="338667"/>
          <a:chOff x="2057401" y="982133"/>
          <a:chExt cx="1024467" cy="338667"/>
        </a:xfrm>
      </xdr:grpSpPr>
      <xdr:sp macro="" textlink="Sheet1!C29">
        <xdr:nvSpPr>
          <xdr:cNvPr id="43" name="TextBox 42">
            <a:extLst>
              <a:ext uri="{FF2B5EF4-FFF2-40B4-BE49-F238E27FC236}">
                <a16:creationId xmlns:a16="http://schemas.microsoft.com/office/drawing/2014/main" id="{ABC755BC-9BFA-4425-92C8-C8A601F5B657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E20ED74-2368-4D5F-A802-C7EAEFE5DAC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Referral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9">
        <xdr:nvSpPr>
          <xdr:cNvPr id="44" name="TextBox 43">
            <a:extLst>
              <a:ext uri="{FF2B5EF4-FFF2-40B4-BE49-F238E27FC236}">
                <a16:creationId xmlns:a16="http://schemas.microsoft.com/office/drawing/2014/main" id="{1E38C3C3-E341-4630-A856-8639FD001824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64169426-2861-4E52-AE1E-A2867C8C861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16 930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26</xdr:row>
      <xdr:rowOff>177801</xdr:rowOff>
    </xdr:from>
    <xdr:to>
      <xdr:col>4</xdr:col>
      <xdr:colOff>524932</xdr:colOff>
      <xdr:row>28</xdr:row>
      <xdr:rowOff>143934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A8E30A0E-D76A-4AD4-A143-CC15B48701D7}"/>
            </a:ext>
          </a:extLst>
        </xdr:cNvPr>
        <xdr:cNvGrpSpPr/>
      </xdr:nvGrpSpPr>
      <xdr:grpSpPr>
        <a:xfrm>
          <a:off x="1938865" y="5020734"/>
          <a:ext cx="1024467" cy="338667"/>
          <a:chOff x="2057401" y="982133"/>
          <a:chExt cx="1024467" cy="338667"/>
        </a:xfrm>
      </xdr:grpSpPr>
      <xdr:sp macro="" textlink="Sheet1!C30">
        <xdr:nvSpPr>
          <xdr:cNvPr id="46" name="TextBox 45">
            <a:extLst>
              <a:ext uri="{FF2B5EF4-FFF2-40B4-BE49-F238E27FC236}">
                <a16:creationId xmlns:a16="http://schemas.microsoft.com/office/drawing/2014/main" id="{7F7FE740-3C0D-4836-B2BB-899951A385B9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98944F5-3273-43A3-A780-8A6B80228414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Top Location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30">
        <xdr:nvSpPr>
          <xdr:cNvPr id="47" name="TextBox 46">
            <a:extLst>
              <a:ext uri="{FF2B5EF4-FFF2-40B4-BE49-F238E27FC236}">
                <a16:creationId xmlns:a16="http://schemas.microsoft.com/office/drawing/2014/main" id="{079DE33E-8273-469B-BB73-904F494F5EF9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46B869EF-1FDB-4E88-BF2E-7D10528AE82C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Japan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9</xdr:row>
      <xdr:rowOff>137345</xdr:rowOff>
    </xdr:from>
    <xdr:to>
      <xdr:col>4</xdr:col>
      <xdr:colOff>524932</xdr:colOff>
      <xdr:row>11</xdr:row>
      <xdr:rowOff>103479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A4258D6-7525-4170-B38B-2034F4C3ADDB}"/>
            </a:ext>
          </a:extLst>
        </xdr:cNvPr>
        <xdr:cNvGrpSpPr/>
      </xdr:nvGrpSpPr>
      <xdr:grpSpPr>
        <a:xfrm>
          <a:off x="1938865" y="1813745"/>
          <a:ext cx="1024467" cy="338667"/>
          <a:chOff x="2057401" y="982133"/>
          <a:chExt cx="1024467" cy="338667"/>
        </a:xfrm>
      </xdr:grpSpPr>
      <xdr:sp macro="" textlink="Sheet1!C23">
        <xdr:nvSpPr>
          <xdr:cNvPr id="49" name="TextBox 48">
            <a:extLst>
              <a:ext uri="{FF2B5EF4-FFF2-40B4-BE49-F238E27FC236}">
                <a16:creationId xmlns:a16="http://schemas.microsoft.com/office/drawing/2014/main" id="{864A9CEE-6C04-44FE-B16E-89F8B1BF29F7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64F3898-E2B5-45B5-9AC1-3DE54A3C1A8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Bounce Rate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3">
        <xdr:nvSpPr>
          <xdr:cNvPr id="50" name="TextBox 49">
            <a:extLst>
              <a:ext uri="{FF2B5EF4-FFF2-40B4-BE49-F238E27FC236}">
                <a16:creationId xmlns:a16="http://schemas.microsoft.com/office/drawing/2014/main" id="{FA568B27-1DEE-4CE2-BF4F-626D84AF18B8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8FD1269B-3FF7-4124-B443-2187D69E253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45%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5</xdr:col>
      <xdr:colOff>3396</xdr:colOff>
      <xdr:row>4</xdr:row>
      <xdr:rowOff>84664</xdr:rowOff>
    </xdr:from>
    <xdr:to>
      <xdr:col>9</xdr:col>
      <xdr:colOff>264996</xdr:colOff>
      <xdr:row>14</xdr:row>
      <xdr:rowOff>93998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F5FD0DF9-B837-45B4-BEEF-9DB54E98A679}"/>
            </a:ext>
          </a:extLst>
        </xdr:cNvPr>
        <xdr:cNvSpPr/>
      </xdr:nvSpPr>
      <xdr:spPr>
        <a:xfrm>
          <a:off x="3051396" y="816184"/>
          <a:ext cx="2700000" cy="183813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9</xdr:col>
      <xdr:colOff>429266</xdr:colOff>
      <xdr:row>4</xdr:row>
      <xdr:rowOff>84664</xdr:rowOff>
    </xdr:from>
    <xdr:to>
      <xdr:col>14</xdr:col>
      <xdr:colOff>81266</xdr:colOff>
      <xdr:row>14</xdr:row>
      <xdr:rowOff>93998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C9AB973-775F-4974-AFA9-7FC5B5FB75BB}"/>
            </a:ext>
          </a:extLst>
        </xdr:cNvPr>
        <xdr:cNvSpPr/>
      </xdr:nvSpPr>
      <xdr:spPr>
        <a:xfrm>
          <a:off x="5915666" y="816184"/>
          <a:ext cx="2700000" cy="183813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14</xdr:col>
      <xdr:colOff>245535</xdr:colOff>
      <xdr:row>4</xdr:row>
      <xdr:rowOff>84664</xdr:rowOff>
    </xdr:from>
    <xdr:to>
      <xdr:col>18</xdr:col>
      <xdr:colOff>507135</xdr:colOff>
      <xdr:row>25</xdr:row>
      <xdr:rowOff>97064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86680743-FA13-4A4A-B246-8EC62805AE36}"/>
            </a:ext>
          </a:extLst>
        </xdr:cNvPr>
        <xdr:cNvSpPr/>
      </xdr:nvSpPr>
      <xdr:spPr>
        <a:xfrm>
          <a:off x="8779935" y="816184"/>
          <a:ext cx="2700000" cy="385288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3396</xdr:colOff>
      <xdr:row>15</xdr:row>
      <xdr:rowOff>87731</xdr:rowOff>
    </xdr:from>
    <xdr:to>
      <xdr:col>9</xdr:col>
      <xdr:colOff>264996</xdr:colOff>
      <xdr:row>25</xdr:row>
      <xdr:rowOff>97064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822C52B-B2E1-470A-8309-A546CBB988D1}"/>
            </a:ext>
          </a:extLst>
        </xdr:cNvPr>
        <xdr:cNvSpPr/>
      </xdr:nvSpPr>
      <xdr:spPr>
        <a:xfrm>
          <a:off x="3051396" y="2830931"/>
          <a:ext cx="2700000" cy="183813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9</xdr:col>
      <xdr:colOff>429266</xdr:colOff>
      <xdr:row>15</xdr:row>
      <xdr:rowOff>87731</xdr:rowOff>
    </xdr:from>
    <xdr:to>
      <xdr:col>14</xdr:col>
      <xdr:colOff>81266</xdr:colOff>
      <xdr:row>25</xdr:row>
      <xdr:rowOff>97064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177BD373-6DB3-4541-9B18-7A372A523CA2}"/>
            </a:ext>
          </a:extLst>
        </xdr:cNvPr>
        <xdr:cNvSpPr/>
      </xdr:nvSpPr>
      <xdr:spPr>
        <a:xfrm>
          <a:off x="5915666" y="2830931"/>
          <a:ext cx="2700000" cy="183813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33867</xdr:colOff>
      <xdr:row>4</xdr:row>
      <xdr:rowOff>110066</xdr:rowOff>
    </xdr:from>
    <xdr:to>
      <xdr:col>9</xdr:col>
      <xdr:colOff>245533</xdr:colOff>
      <xdr:row>14</xdr:row>
      <xdr:rowOff>8467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A0AA5164-5636-43EE-82F1-2E98D495C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452130</xdr:colOff>
      <xdr:row>4</xdr:row>
      <xdr:rowOff>101600</xdr:rowOff>
    </xdr:from>
    <xdr:to>
      <xdr:col>14</xdr:col>
      <xdr:colOff>8468</xdr:colOff>
      <xdr:row>14</xdr:row>
      <xdr:rowOff>67734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784BDFC6-F321-4E20-82CB-6929546F9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429266</xdr:colOff>
      <xdr:row>4</xdr:row>
      <xdr:rowOff>84664</xdr:rowOff>
    </xdr:from>
    <xdr:to>
      <xdr:col>12</xdr:col>
      <xdr:colOff>90599</xdr:colOff>
      <xdr:row>5</xdr:row>
      <xdr:rowOff>135465</xdr:rowOff>
    </xdr:to>
    <xdr:sp macro="" textlink="">
      <xdr:nvSpPr>
        <xdr:cNvPr id="58" name="TextBox 1">
          <a:extLst>
            <a:ext uri="{FF2B5EF4-FFF2-40B4-BE49-F238E27FC236}">
              <a16:creationId xmlns:a16="http://schemas.microsoft.com/office/drawing/2014/main" id="{D00A6F0D-C7CE-47F0-8A65-72320AA2D5DF}"/>
            </a:ext>
          </a:extLst>
        </xdr:cNvPr>
        <xdr:cNvSpPr txBox="1"/>
      </xdr:nvSpPr>
      <xdr:spPr>
        <a:xfrm>
          <a:off x="5915666" y="816184"/>
          <a:ext cx="1490133" cy="233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Bounce &amp; Exit Rate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5</xdr:col>
      <xdr:colOff>33866</xdr:colOff>
      <xdr:row>15</xdr:row>
      <xdr:rowOff>110066</xdr:rowOff>
    </xdr:from>
    <xdr:to>
      <xdr:col>9</xdr:col>
      <xdr:colOff>211667</xdr:colOff>
      <xdr:row>25</xdr:row>
      <xdr:rowOff>25399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F41D6325-C788-4896-9177-778F36E28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3397</xdr:colOff>
      <xdr:row>15</xdr:row>
      <xdr:rowOff>87731</xdr:rowOff>
    </xdr:from>
    <xdr:to>
      <xdr:col>7</xdr:col>
      <xdr:colOff>274330</xdr:colOff>
      <xdr:row>16</xdr:row>
      <xdr:rowOff>138531</xdr:rowOff>
    </xdr:to>
    <xdr:sp macro="" textlink="">
      <xdr:nvSpPr>
        <xdr:cNvPr id="60" name="TextBox 1">
          <a:extLst>
            <a:ext uri="{FF2B5EF4-FFF2-40B4-BE49-F238E27FC236}">
              <a16:creationId xmlns:a16="http://schemas.microsoft.com/office/drawing/2014/main" id="{4342103B-9A87-4B51-AE07-AEAF3D3523CE}"/>
            </a:ext>
          </a:extLst>
        </xdr:cNvPr>
        <xdr:cNvSpPr txBox="1"/>
      </xdr:nvSpPr>
      <xdr:spPr>
        <a:xfrm>
          <a:off x="3051397" y="2830931"/>
          <a:ext cx="1490133" cy="233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Organic vs. Paid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9</xdr:col>
      <xdr:colOff>482600</xdr:colOff>
      <xdr:row>15</xdr:row>
      <xdr:rowOff>155464</xdr:rowOff>
    </xdr:from>
    <xdr:to>
      <xdr:col>14</xdr:col>
      <xdr:colOff>16934</xdr:colOff>
      <xdr:row>25</xdr:row>
      <xdr:rowOff>16933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5355416C-742E-4731-A83D-096BBB91F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429266</xdr:colOff>
      <xdr:row>15</xdr:row>
      <xdr:rowOff>87731</xdr:rowOff>
    </xdr:from>
    <xdr:to>
      <xdr:col>13</xdr:col>
      <xdr:colOff>313267</xdr:colOff>
      <xdr:row>16</xdr:row>
      <xdr:rowOff>160866</xdr:rowOff>
    </xdr:to>
    <xdr:sp macro="" textlink="">
      <xdr:nvSpPr>
        <xdr:cNvPr id="62" name="TextBox 1">
          <a:extLst>
            <a:ext uri="{FF2B5EF4-FFF2-40B4-BE49-F238E27FC236}">
              <a16:creationId xmlns:a16="http://schemas.microsoft.com/office/drawing/2014/main" id="{BAE94E8E-B67E-4749-AF3E-D3261BBFC89F}"/>
            </a:ext>
          </a:extLst>
        </xdr:cNvPr>
        <xdr:cNvSpPr txBox="1"/>
      </xdr:nvSpPr>
      <xdr:spPr>
        <a:xfrm>
          <a:off x="5915666" y="2830931"/>
          <a:ext cx="2322401" cy="256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Direct vs. Social</a:t>
          </a:r>
          <a:r>
            <a:rPr lang="en-US" sz="900" b="1" i="0" u="none" strike="noStrike" baseline="0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 vs. Referral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14</xdr:col>
      <xdr:colOff>287868</xdr:colOff>
      <xdr:row>6</xdr:row>
      <xdr:rowOff>59265</xdr:rowOff>
    </xdr:from>
    <xdr:to>
      <xdr:col>18</xdr:col>
      <xdr:colOff>465666</xdr:colOff>
      <xdr:row>21</xdr:row>
      <xdr:rowOff>135467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4C91F057-280B-47B0-8390-F784E8D57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14</xdr:col>
      <xdr:colOff>245535</xdr:colOff>
      <xdr:row>4</xdr:row>
      <xdr:rowOff>84664</xdr:rowOff>
    </xdr:from>
    <xdr:to>
      <xdr:col>16</xdr:col>
      <xdr:colOff>516468</xdr:colOff>
      <xdr:row>5</xdr:row>
      <xdr:rowOff>135465</xdr:rowOff>
    </xdr:to>
    <xdr:sp macro="" textlink="">
      <xdr:nvSpPr>
        <xdr:cNvPr id="64" name="TextBox 1">
          <a:extLst>
            <a:ext uri="{FF2B5EF4-FFF2-40B4-BE49-F238E27FC236}">
              <a16:creationId xmlns:a16="http://schemas.microsoft.com/office/drawing/2014/main" id="{C25604D3-6B4E-4CE7-AFE5-DA55589DB6DD}"/>
            </a:ext>
          </a:extLst>
        </xdr:cNvPr>
        <xdr:cNvSpPr txBox="1"/>
      </xdr:nvSpPr>
      <xdr:spPr>
        <a:xfrm>
          <a:off x="8779935" y="816184"/>
          <a:ext cx="1490133" cy="233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Geographic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5</xdr:col>
      <xdr:colOff>3396</xdr:colOff>
      <xdr:row>26</xdr:row>
      <xdr:rowOff>44400</xdr:rowOff>
    </xdr:from>
    <xdr:to>
      <xdr:col>9</xdr:col>
      <xdr:colOff>264996</xdr:colOff>
      <xdr:row>29</xdr:row>
      <xdr:rowOff>50800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6310B317-5596-4041-9993-E3FA9D1CCE4E}"/>
            </a:ext>
          </a:extLst>
        </xdr:cNvPr>
        <xdr:cNvSpPr/>
      </xdr:nvSpPr>
      <xdr:spPr>
        <a:xfrm>
          <a:off x="3051396" y="4799280"/>
          <a:ext cx="2700000" cy="5550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406400</xdr:colOff>
      <xdr:row>26</xdr:row>
      <xdr:rowOff>25400</xdr:rowOff>
    </xdr:from>
    <xdr:to>
      <xdr:col>9</xdr:col>
      <xdr:colOff>264996</xdr:colOff>
      <xdr:row>29</xdr:row>
      <xdr:rowOff>30598</xdr:rowOff>
    </xdr:to>
    <xdr:sp macro="" textlink="Sheet1!C34">
      <xdr:nvSpPr>
        <xdr:cNvPr id="66" name="Rectangle 65">
          <a:extLst>
            <a:ext uri="{FF2B5EF4-FFF2-40B4-BE49-F238E27FC236}">
              <a16:creationId xmlns:a16="http://schemas.microsoft.com/office/drawing/2014/main" id="{7E7E064B-8431-4F89-B789-2EAA3BD98CC3}"/>
            </a:ext>
          </a:extLst>
        </xdr:cNvPr>
        <xdr:cNvSpPr/>
      </xdr:nvSpPr>
      <xdr:spPr>
        <a:xfrm>
          <a:off x="3454400" y="4780280"/>
          <a:ext cx="2296996" cy="55383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>
    <xdr:from>
      <xdr:col>9</xdr:col>
      <xdr:colOff>429266</xdr:colOff>
      <xdr:row>26</xdr:row>
      <xdr:rowOff>44400</xdr:rowOff>
    </xdr:from>
    <xdr:to>
      <xdr:col>14</xdr:col>
      <xdr:colOff>81266</xdr:colOff>
      <xdr:row>29</xdr:row>
      <xdr:rowOff>50800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9F88A17A-9B3B-4CC0-8594-42565D553084}"/>
            </a:ext>
          </a:extLst>
        </xdr:cNvPr>
        <xdr:cNvSpPr/>
      </xdr:nvSpPr>
      <xdr:spPr>
        <a:xfrm>
          <a:off x="5915666" y="4799280"/>
          <a:ext cx="2700000" cy="5550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10</xdr:col>
      <xdr:colOff>237066</xdr:colOff>
      <xdr:row>26</xdr:row>
      <xdr:rowOff>42333</xdr:rowOff>
    </xdr:from>
    <xdr:to>
      <xdr:col>14</xdr:col>
      <xdr:colOff>95662</xdr:colOff>
      <xdr:row>29</xdr:row>
      <xdr:rowOff>47531</xdr:rowOff>
    </xdr:to>
    <xdr:sp macro="" textlink="Sheet1!C34">
      <xdr:nvSpPr>
        <xdr:cNvPr id="68" name="Rectangle 67">
          <a:extLst>
            <a:ext uri="{FF2B5EF4-FFF2-40B4-BE49-F238E27FC236}">
              <a16:creationId xmlns:a16="http://schemas.microsoft.com/office/drawing/2014/main" id="{54C7C703-A066-4EFC-B795-D42AA46DD3C3}"/>
            </a:ext>
          </a:extLst>
        </xdr:cNvPr>
        <xdr:cNvSpPr/>
      </xdr:nvSpPr>
      <xdr:spPr>
        <a:xfrm>
          <a:off x="6333066" y="4797213"/>
          <a:ext cx="2296996" cy="55383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>
    <xdr:from>
      <xdr:col>14</xdr:col>
      <xdr:colOff>245535</xdr:colOff>
      <xdr:row>26</xdr:row>
      <xdr:rowOff>44400</xdr:rowOff>
    </xdr:from>
    <xdr:to>
      <xdr:col>18</xdr:col>
      <xdr:colOff>507135</xdr:colOff>
      <xdr:row>29</xdr:row>
      <xdr:rowOff>50800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E479BF31-6F61-4228-BF75-5FC67CED388A}"/>
            </a:ext>
          </a:extLst>
        </xdr:cNvPr>
        <xdr:cNvSpPr/>
      </xdr:nvSpPr>
      <xdr:spPr>
        <a:xfrm>
          <a:off x="8779935" y="4799280"/>
          <a:ext cx="2700000" cy="5550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15</xdr:col>
      <xdr:colOff>42332</xdr:colOff>
      <xdr:row>26</xdr:row>
      <xdr:rowOff>42333</xdr:rowOff>
    </xdr:from>
    <xdr:to>
      <xdr:col>18</xdr:col>
      <xdr:colOff>510528</xdr:colOff>
      <xdr:row>29</xdr:row>
      <xdr:rowOff>47531</xdr:rowOff>
    </xdr:to>
    <xdr:sp macro="" textlink="Sheet1!C34">
      <xdr:nvSpPr>
        <xdr:cNvPr id="70" name="Rectangle 69">
          <a:extLst>
            <a:ext uri="{FF2B5EF4-FFF2-40B4-BE49-F238E27FC236}">
              <a16:creationId xmlns:a16="http://schemas.microsoft.com/office/drawing/2014/main" id="{58046BD9-1D00-4FCD-B16E-A0CDFCCE21E2}"/>
            </a:ext>
          </a:extLst>
        </xdr:cNvPr>
        <xdr:cNvSpPr/>
      </xdr:nvSpPr>
      <xdr:spPr>
        <a:xfrm>
          <a:off x="9186332" y="4797213"/>
          <a:ext cx="2296996" cy="55383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 editAs="oneCell">
    <xdr:from>
      <xdr:col>14</xdr:col>
      <xdr:colOff>296334</xdr:colOff>
      <xdr:row>26</xdr:row>
      <xdr:rowOff>85300</xdr:rowOff>
    </xdr:from>
    <xdr:to>
      <xdr:col>15</xdr:col>
      <xdr:colOff>118734</xdr:colOff>
      <xdr:row>28</xdr:row>
      <xdr:rowOff>144766</xdr:rowOff>
    </xdr:to>
    <xdr:pic>
      <xdr:nvPicPr>
        <xdr:cNvPr id="71" name="Graphic 70" descr="Magnifying glass with solid fill">
          <a:extLst>
            <a:ext uri="{FF2B5EF4-FFF2-40B4-BE49-F238E27FC236}">
              <a16:creationId xmlns:a16="http://schemas.microsoft.com/office/drawing/2014/main" id="{6064977F-1F86-4F4A-AE8A-04ECB86CE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8830734" y="4840180"/>
          <a:ext cx="432000" cy="425226"/>
        </a:xfrm>
        <a:prstGeom prst="rect">
          <a:avLst/>
        </a:prstGeom>
      </xdr:spPr>
    </xdr:pic>
    <xdr:clientData/>
  </xdr:twoCellAnchor>
  <xdr:twoCellAnchor editAs="oneCell">
    <xdr:from>
      <xdr:col>9</xdr:col>
      <xdr:colOff>463266</xdr:colOff>
      <xdr:row>26</xdr:row>
      <xdr:rowOff>85300</xdr:rowOff>
    </xdr:from>
    <xdr:to>
      <xdr:col>10</xdr:col>
      <xdr:colOff>285666</xdr:colOff>
      <xdr:row>28</xdr:row>
      <xdr:rowOff>144766</xdr:rowOff>
    </xdr:to>
    <xdr:pic>
      <xdr:nvPicPr>
        <xdr:cNvPr id="72" name="Graphic 71" descr="Stopwatch with solid fill">
          <a:extLst>
            <a:ext uri="{FF2B5EF4-FFF2-40B4-BE49-F238E27FC236}">
              <a16:creationId xmlns:a16="http://schemas.microsoft.com/office/drawing/2014/main" id="{3DD03979-5612-4AB5-AAB4-A3FC2D962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949666" y="4840180"/>
          <a:ext cx="432000" cy="425226"/>
        </a:xfrm>
        <a:prstGeom prst="rect">
          <a:avLst/>
        </a:prstGeom>
      </xdr:spPr>
    </xdr:pic>
    <xdr:clientData/>
  </xdr:twoCellAnchor>
  <xdr:twoCellAnchor editAs="oneCell">
    <xdr:from>
      <xdr:col>5</xdr:col>
      <xdr:colOff>37533</xdr:colOff>
      <xdr:row>26</xdr:row>
      <xdr:rowOff>85300</xdr:rowOff>
    </xdr:from>
    <xdr:to>
      <xdr:col>5</xdr:col>
      <xdr:colOff>469533</xdr:colOff>
      <xdr:row>28</xdr:row>
      <xdr:rowOff>144766</xdr:rowOff>
    </xdr:to>
    <xdr:pic>
      <xdr:nvPicPr>
        <xdr:cNvPr id="73" name="Graphic 72" descr="Target with solid fill">
          <a:extLst>
            <a:ext uri="{FF2B5EF4-FFF2-40B4-BE49-F238E27FC236}">
              <a16:creationId xmlns:a16="http://schemas.microsoft.com/office/drawing/2014/main" id="{FB5E08D4-0741-4385-B2F0-03C368699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085533" y="4840180"/>
          <a:ext cx="432000" cy="425226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0.5623</cdr:x>
      <cdr:y>0.13462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2E76224-4259-4765-84E6-3257CF3C8504}"/>
            </a:ext>
          </a:extLst>
        </cdr:cNvPr>
        <cdr:cNvSpPr txBox="1"/>
      </cdr:nvSpPr>
      <cdr:spPr>
        <a:xfrm xmlns:a="http://schemas.openxmlformats.org/drawingml/2006/main">
          <a:off x="0" y="0"/>
          <a:ext cx="1490133" cy="2370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Visits &amp; Page Views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0.40129</cdr:x>
      <cdr:y>0.31858</cdr:y>
    </cdr:from>
    <cdr:to>
      <cdr:x>0.6343</cdr:x>
      <cdr:y>0.47788</cdr:y>
    </cdr:to>
    <cdr:sp macro="" textlink="Sheet1!$K$2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E1C86C3-B2A4-4F9D-8360-D346246A2FDB}"/>
            </a:ext>
          </a:extLst>
        </cdr:cNvPr>
        <cdr:cNvSpPr txBox="1"/>
      </cdr:nvSpPr>
      <cdr:spPr>
        <a:xfrm xmlns:a="http://schemas.openxmlformats.org/drawingml/2006/main">
          <a:off x="1049866" y="914402"/>
          <a:ext cx="609599" cy="4571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none" rtlCol="0" anchor="t"/>
        <a:lstStyle xmlns:a="http://schemas.openxmlformats.org/drawingml/2006/main"/>
        <a:p xmlns:a="http://schemas.openxmlformats.org/drawingml/2006/main">
          <a:pPr algn="l"/>
          <a:fld id="{BC0EC81A-FA5F-4201-8621-48F2F5E1632F}" type="TxLink">
            <a:rPr lang="en-US" sz="900" b="1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Japan
34000</a:t>
          </a:fld>
          <a:endParaRPr lang="uk-UA" sz="1000" b="1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292799</xdr:colOff>
      <xdr:row>1</xdr:row>
      <xdr:rowOff>145095</xdr:rowOff>
    </xdr:from>
    <xdr:to>
      <xdr:col>7</xdr:col>
      <xdr:colOff>433911</xdr:colOff>
      <xdr:row>37</xdr:row>
      <xdr:rowOff>47316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66826BE0-5041-4A53-9632-AAEC9D12855E}"/>
            </a:ext>
          </a:extLst>
        </xdr:cNvPr>
        <xdr:cNvSpPr/>
      </xdr:nvSpPr>
      <xdr:spPr>
        <a:xfrm rot="5721033">
          <a:off x="-745996" y="1366770"/>
          <a:ext cx="6485901" cy="4408312"/>
        </a:xfrm>
        <a:custGeom>
          <a:avLst/>
          <a:gdLst>
            <a:gd name="connsiteX0" fmla="*/ 6438714 w 6485901"/>
            <a:gd name="connsiteY0" fmla="*/ 900976 h 4850272"/>
            <a:gd name="connsiteX1" fmla="*/ 98874 w 6485901"/>
            <a:gd name="connsiteY1" fmla="*/ 306616 h 4850272"/>
            <a:gd name="connsiteX2" fmla="*/ 2842074 w 6485901"/>
            <a:gd name="connsiteY2" fmla="*/ 4848136 h 4850272"/>
            <a:gd name="connsiteX3" fmla="*/ 6438714 w 6485901"/>
            <a:gd name="connsiteY3" fmla="*/ 900976 h 48502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485901" h="4850272">
              <a:moveTo>
                <a:pt x="6438714" y="900976"/>
              </a:moveTo>
              <a:cubicBezTo>
                <a:pt x="5981514" y="144056"/>
                <a:pt x="698314" y="-351244"/>
                <a:pt x="98874" y="306616"/>
              </a:cubicBezTo>
              <a:cubicBezTo>
                <a:pt x="-500566" y="964476"/>
                <a:pt x="1777814" y="4750346"/>
                <a:pt x="2842074" y="4848136"/>
              </a:cubicBezTo>
              <a:cubicBezTo>
                <a:pt x="3906334" y="4945926"/>
                <a:pt x="6895914" y="1657896"/>
                <a:pt x="6438714" y="900976"/>
              </a:cubicBezTo>
              <a:close/>
            </a:path>
          </a:pathLst>
        </a:custGeom>
        <a:solidFill>
          <a:srgbClr val="5A7D7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7</xdr:col>
      <xdr:colOff>260256</xdr:colOff>
      <xdr:row>4</xdr:row>
      <xdr:rowOff>94913</xdr:rowOff>
    </xdr:from>
    <xdr:to>
      <xdr:col>27</xdr:col>
      <xdr:colOff>605135</xdr:colOff>
      <xdr:row>39</xdr:row>
      <xdr:rowOff>176882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AE643439-BE3A-4B1E-BEAD-084312E122C8}"/>
            </a:ext>
          </a:extLst>
        </xdr:cNvPr>
        <xdr:cNvSpPr/>
      </xdr:nvSpPr>
      <xdr:spPr>
        <a:xfrm rot="293933">
          <a:off x="4527456" y="826433"/>
          <a:ext cx="12536879" cy="6482769"/>
        </a:xfrm>
        <a:custGeom>
          <a:avLst/>
          <a:gdLst>
            <a:gd name="connsiteX0" fmla="*/ 6438714 w 6485901"/>
            <a:gd name="connsiteY0" fmla="*/ 900976 h 4850272"/>
            <a:gd name="connsiteX1" fmla="*/ 98874 w 6485901"/>
            <a:gd name="connsiteY1" fmla="*/ 306616 h 4850272"/>
            <a:gd name="connsiteX2" fmla="*/ 2842074 w 6485901"/>
            <a:gd name="connsiteY2" fmla="*/ 4848136 h 4850272"/>
            <a:gd name="connsiteX3" fmla="*/ 6438714 w 6485901"/>
            <a:gd name="connsiteY3" fmla="*/ 900976 h 48502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485901" h="4850272">
              <a:moveTo>
                <a:pt x="6438714" y="900976"/>
              </a:moveTo>
              <a:cubicBezTo>
                <a:pt x="5981514" y="144056"/>
                <a:pt x="698314" y="-351244"/>
                <a:pt x="98874" y="306616"/>
              </a:cubicBezTo>
              <a:cubicBezTo>
                <a:pt x="-500566" y="964476"/>
                <a:pt x="1777814" y="4750346"/>
                <a:pt x="2842074" y="4848136"/>
              </a:cubicBezTo>
              <a:cubicBezTo>
                <a:pt x="3906334" y="4945926"/>
                <a:pt x="6895914" y="1657896"/>
                <a:pt x="6438714" y="900976"/>
              </a:cubicBezTo>
              <a:close/>
            </a:path>
          </a:pathLst>
        </a:custGeom>
        <a:solidFill>
          <a:srgbClr val="B5B2C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419100</xdr:colOff>
      <xdr:row>0</xdr:row>
      <xdr:rowOff>183727</xdr:rowOff>
    </xdr:from>
    <xdr:to>
      <xdr:col>19</xdr:col>
      <xdr:colOff>0</xdr:colOff>
      <xdr:row>29</xdr:row>
      <xdr:rowOff>135467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0CED07A-CE11-468B-A7F5-946E3F4C1B17}"/>
            </a:ext>
          </a:extLst>
        </xdr:cNvPr>
        <xdr:cNvSpPr/>
      </xdr:nvSpPr>
      <xdr:spPr>
        <a:xfrm>
          <a:off x="1028700" y="183727"/>
          <a:ext cx="10553700" cy="52552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441960</xdr:colOff>
      <xdr:row>3</xdr:row>
      <xdr:rowOff>167640</xdr:rowOff>
    </xdr:from>
    <xdr:to>
      <xdr:col>19</xdr:col>
      <xdr:colOff>0</xdr:colOff>
      <xdr:row>29</xdr:row>
      <xdr:rowOff>135467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270524E-F62C-4AF2-8920-349D726BB1A5}"/>
            </a:ext>
          </a:extLst>
        </xdr:cNvPr>
        <xdr:cNvSpPr/>
      </xdr:nvSpPr>
      <xdr:spPr>
        <a:xfrm>
          <a:off x="1661160" y="716280"/>
          <a:ext cx="9921240" cy="472270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474133</xdr:colOff>
      <xdr:row>16</xdr:row>
      <xdr:rowOff>8472</xdr:rowOff>
    </xdr:from>
    <xdr:to>
      <xdr:col>2</xdr:col>
      <xdr:colOff>412300</xdr:colOff>
      <xdr:row>18</xdr:row>
      <xdr:rowOff>152405</xdr:rowOff>
    </xdr:to>
    <xdr:sp macro="" textlink="">
      <xdr:nvSpPr>
        <xdr:cNvPr id="6" name="Pentagon 5">
          <a:extLst>
            <a:ext uri="{FF2B5EF4-FFF2-40B4-BE49-F238E27FC236}">
              <a16:creationId xmlns:a16="http://schemas.microsoft.com/office/drawing/2014/main" id="{DFEB2E31-F206-4E17-8966-931EA549A0CD}"/>
            </a:ext>
          </a:extLst>
        </xdr:cNvPr>
        <xdr:cNvSpPr>
          <a:spLocks noChangeAspect="1"/>
        </xdr:cNvSpPr>
      </xdr:nvSpPr>
      <xdr:spPr>
        <a:xfrm>
          <a:off x="1083733" y="2988739"/>
          <a:ext cx="547767" cy="516466"/>
        </a:xfrm>
        <a:prstGeom prst="pentagon">
          <a:avLst/>
        </a:prstGeom>
        <a:solidFill>
          <a:srgbClr val="DADF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528600</xdr:colOff>
      <xdr:row>9</xdr:row>
      <xdr:rowOff>168200</xdr:rowOff>
    </xdr:from>
    <xdr:to>
      <xdr:col>2</xdr:col>
      <xdr:colOff>351000</xdr:colOff>
      <xdr:row>25</xdr:row>
      <xdr:rowOff>82466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740F1C72-2BA7-4B00-85BF-3E48CCD9E53D}"/>
            </a:ext>
          </a:extLst>
        </xdr:cNvPr>
        <xdr:cNvGrpSpPr/>
      </xdr:nvGrpSpPr>
      <xdr:grpSpPr>
        <a:xfrm>
          <a:off x="1138200" y="1844600"/>
          <a:ext cx="432000" cy="2894533"/>
          <a:chOff x="2391267" y="1268866"/>
          <a:chExt cx="432000" cy="2894533"/>
        </a:xfrm>
      </xdr:grpSpPr>
      <xdr:pic>
        <xdr:nvPicPr>
          <xdr:cNvPr id="8" name="Graphic 7" descr="Cow with solid fill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94485B89-4A04-498D-BB9A-1143B6D3FD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391267" y="2500132"/>
            <a:ext cx="432000" cy="432000"/>
          </a:xfrm>
          <a:prstGeom prst="rect">
            <a:avLst/>
          </a:prstGeom>
        </xdr:spPr>
      </xdr:pic>
      <xdr:pic>
        <xdr:nvPicPr>
          <xdr:cNvPr id="9" name="Graphic 8" descr="Fish with solid fill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4B5A851-5FCD-4F49-A8F2-E672E0A2F2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391267" y="3731399"/>
            <a:ext cx="432000" cy="432000"/>
          </a:xfrm>
          <a:prstGeom prst="rect">
            <a:avLst/>
          </a:prstGeom>
        </xdr:spPr>
      </xdr:pic>
      <xdr:pic>
        <xdr:nvPicPr>
          <xdr:cNvPr id="10" name="Graphic 9" descr="Peacock with solid fill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441D81B8-EDE4-485A-AA5E-BBE10A552B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2391267" y="3115765"/>
            <a:ext cx="432000" cy="432000"/>
          </a:xfrm>
          <a:prstGeom prst="rect">
            <a:avLst/>
          </a:prstGeom>
        </xdr:spPr>
      </xdr:pic>
      <xdr:pic>
        <xdr:nvPicPr>
          <xdr:cNvPr id="11" name="Graphic 10" descr="Pig with solid fill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13620F99-9CCE-47AB-AC06-63D7743C23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2391267" y="1884499"/>
            <a:ext cx="432000" cy="432000"/>
          </a:xfrm>
          <a:prstGeom prst="rect">
            <a:avLst/>
          </a:prstGeom>
        </xdr:spPr>
      </xdr:pic>
      <xdr:pic>
        <xdr:nvPicPr>
          <xdr:cNvPr id="12" name="Graphic 11" descr="Open hand with plant with solid fill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1C9AF46E-67B3-4A96-A098-20084D04F2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2391267" y="1268866"/>
            <a:ext cx="432000" cy="4320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270933</xdr:colOff>
      <xdr:row>1</xdr:row>
      <xdr:rowOff>97369</xdr:rowOff>
    </xdr:from>
    <xdr:to>
      <xdr:col>16</xdr:col>
      <xdr:colOff>254000</xdr:colOff>
      <xdr:row>3</xdr:row>
      <xdr:rowOff>38102</xdr:rowOff>
    </xdr:to>
    <xdr:sp macro="" textlink="Sheet1!B2">
      <xdr:nvSpPr>
        <xdr:cNvPr id="13" name="Rectangle: Rounded Corners 12">
          <a:extLst>
            <a:ext uri="{FF2B5EF4-FFF2-40B4-BE49-F238E27FC236}">
              <a16:creationId xmlns:a16="http://schemas.microsoft.com/office/drawing/2014/main" id="{C5A8570B-6DC9-4889-8D18-2E526714A649}"/>
            </a:ext>
          </a:extLst>
        </xdr:cNvPr>
        <xdr:cNvSpPr/>
      </xdr:nvSpPr>
      <xdr:spPr>
        <a:xfrm>
          <a:off x="8805333" y="280249"/>
          <a:ext cx="1202267" cy="306493"/>
        </a:xfrm>
        <a:prstGeom prst="roundRect">
          <a:avLst/>
        </a:prstGeom>
        <a:gradFill>
          <a:gsLst>
            <a:gs pos="0">
              <a:srgbClr val="B5B2C2"/>
            </a:gs>
            <a:gs pos="82000">
              <a:srgbClr val="DADFF7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489C72C-F7AE-46F1-A8C1-2895165DC592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+mn-cs"/>
            </a:rPr>
            <a:pPr marL="0" indent="0" algn="ctr"/>
            <a:t>1st Jun - 15th Sep</a:t>
          </a:fld>
          <a:endParaRPr lang="uk-UA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414865</xdr:colOff>
      <xdr:row>1</xdr:row>
      <xdr:rowOff>169337</xdr:rowOff>
    </xdr:from>
    <xdr:to>
      <xdr:col>7</xdr:col>
      <xdr:colOff>126998</xdr:colOff>
      <xdr:row>3</xdr:row>
      <xdr:rowOff>93137</xdr:rowOff>
    </xdr:to>
    <xdr:sp macro="" textlink="Sheet1!B1">
      <xdr:nvSpPr>
        <xdr:cNvPr id="14" name="TextBox 13">
          <a:extLst>
            <a:ext uri="{FF2B5EF4-FFF2-40B4-BE49-F238E27FC236}">
              <a16:creationId xmlns:a16="http://schemas.microsoft.com/office/drawing/2014/main" id="{4ED06F7B-0983-4C4D-B4C0-8DBF9EFDFB5E}"/>
            </a:ext>
          </a:extLst>
        </xdr:cNvPr>
        <xdr:cNvSpPr txBox="1"/>
      </xdr:nvSpPr>
      <xdr:spPr>
        <a:xfrm>
          <a:off x="1634065" y="352217"/>
          <a:ext cx="2760133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1D20AF4D-F9E7-42F8-9A00-3FBA50A82B68}" type="TxLink">
            <a:rPr lang="en-US" sz="1100" b="0" i="0" u="none" strike="noStrike">
              <a:solidFill>
                <a:srgbClr val="232C33"/>
              </a:solidFill>
              <a:latin typeface="Montserrat medium" panose="00000600000000000000" pitchFamily="2" charset="-52"/>
              <a:cs typeface="Calibri"/>
            </a:rPr>
            <a:t>Performance Analytics Dashboard</a:t>
          </a:fld>
          <a:endParaRPr lang="uk-UA" sz="1100" b="0" i="0" u="none" strike="noStrike">
            <a:solidFill>
              <a:srgbClr val="232C33"/>
            </a:solidFill>
            <a:latin typeface="Montserrat medium" panose="00000600000000000000" pitchFamily="2" charset="-52"/>
            <a:cs typeface="Calibri"/>
          </a:endParaRPr>
        </a:p>
      </xdr:txBody>
    </xdr:sp>
    <xdr:clientData/>
  </xdr:twoCellAnchor>
  <xdr:twoCellAnchor>
    <xdr:from>
      <xdr:col>1</xdr:col>
      <xdr:colOff>499534</xdr:colOff>
      <xdr:row>1</xdr:row>
      <xdr:rowOff>8468</xdr:rowOff>
    </xdr:from>
    <xdr:to>
      <xdr:col>2</xdr:col>
      <xdr:colOff>357934</xdr:colOff>
      <xdr:row>4</xdr:row>
      <xdr:rowOff>26392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3572C096-04B7-420D-9A62-D49F8499EB4A}"/>
            </a:ext>
          </a:extLst>
        </xdr:cNvPr>
        <xdr:cNvGrpSpPr/>
      </xdr:nvGrpSpPr>
      <xdr:grpSpPr>
        <a:xfrm>
          <a:off x="1109134" y="194735"/>
          <a:ext cx="468000" cy="576724"/>
          <a:chOff x="1041400" y="186269"/>
          <a:chExt cx="468000" cy="576724"/>
        </a:xfrm>
      </xdr:grpSpPr>
      <xdr:sp macro="" textlink="">
        <xdr:nvSpPr>
          <xdr:cNvPr id="16" name="Pentagon 15">
            <a:extLst>
              <a:ext uri="{FF2B5EF4-FFF2-40B4-BE49-F238E27FC236}">
                <a16:creationId xmlns:a16="http://schemas.microsoft.com/office/drawing/2014/main" id="{E01DB3EF-9C23-4720-BB50-AC86FC332864}"/>
              </a:ext>
            </a:extLst>
          </xdr:cNvPr>
          <xdr:cNvSpPr>
            <a:spLocks noChangeAspect="1"/>
          </xdr:cNvSpPr>
        </xdr:nvSpPr>
        <xdr:spPr>
          <a:xfrm>
            <a:off x="1041400" y="186269"/>
            <a:ext cx="468000" cy="441257"/>
          </a:xfrm>
          <a:prstGeom prst="pentagon">
            <a:avLst/>
          </a:prstGeom>
          <a:solidFill>
            <a:srgbClr val="DADF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uk-UA" sz="1100"/>
          </a:p>
        </xdr:txBody>
      </xdr:sp>
      <xdr:sp macro="" textlink="">
        <xdr:nvSpPr>
          <xdr:cNvPr id="17" name="Pentagon 16">
            <a:extLst>
              <a:ext uri="{FF2B5EF4-FFF2-40B4-BE49-F238E27FC236}">
                <a16:creationId xmlns:a16="http://schemas.microsoft.com/office/drawing/2014/main" id="{687D01EE-9D2C-4476-9C97-036C7B742388}"/>
              </a:ext>
            </a:extLst>
          </xdr:cNvPr>
          <xdr:cNvSpPr>
            <a:spLocks noChangeAspect="1"/>
          </xdr:cNvSpPr>
        </xdr:nvSpPr>
        <xdr:spPr>
          <a:xfrm>
            <a:off x="1041400" y="321736"/>
            <a:ext cx="468000" cy="441257"/>
          </a:xfrm>
          <a:prstGeom prst="pentagon">
            <a:avLst/>
          </a:prstGeom>
          <a:gradFill>
            <a:gsLst>
              <a:gs pos="0">
                <a:srgbClr val="B5B2C2"/>
              </a:gs>
              <a:gs pos="82000">
                <a:srgbClr val="DADFF7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uk-UA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16</xdr:col>
      <xdr:colOff>431799</xdr:colOff>
      <xdr:row>1</xdr:row>
      <xdr:rowOff>97369</xdr:rowOff>
    </xdr:from>
    <xdr:to>
      <xdr:col>18</xdr:col>
      <xdr:colOff>414866</xdr:colOff>
      <xdr:row>3</xdr:row>
      <xdr:rowOff>38102</xdr:rowOff>
    </xdr:to>
    <xdr:sp macro="" textlink="Sheet1!B3">
      <xdr:nvSpPr>
        <xdr:cNvPr id="18" name="Rectangle: Rounded Corners 17">
          <a:extLst>
            <a:ext uri="{FF2B5EF4-FFF2-40B4-BE49-F238E27FC236}">
              <a16:creationId xmlns:a16="http://schemas.microsoft.com/office/drawing/2014/main" id="{2FB040F2-541A-42CD-BE3A-F6E957BCC45A}"/>
            </a:ext>
          </a:extLst>
        </xdr:cNvPr>
        <xdr:cNvSpPr/>
      </xdr:nvSpPr>
      <xdr:spPr>
        <a:xfrm>
          <a:off x="10185399" y="280249"/>
          <a:ext cx="1202267" cy="306493"/>
        </a:xfrm>
        <a:prstGeom prst="roundRect">
          <a:avLst/>
        </a:prstGeom>
        <a:gradFill>
          <a:gsLst>
            <a:gs pos="0">
              <a:srgbClr val="B5B2C2"/>
            </a:gs>
            <a:gs pos="82000">
              <a:srgbClr val="DADFF7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2BEB51A-761D-41EC-B59A-E835EA583929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+mn-cs"/>
            </a:rPr>
            <a:pPr marL="0" indent="0" algn="ctr"/>
            <a:t>Quarterly Report</a:t>
          </a:fld>
          <a:endParaRPr lang="uk-UA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25395</xdr:colOff>
      <xdr:row>4</xdr:row>
      <xdr:rowOff>84664</xdr:rowOff>
    </xdr:from>
    <xdr:to>
      <xdr:col>4</xdr:col>
      <xdr:colOff>448728</xdr:colOff>
      <xdr:row>29</xdr:row>
      <xdr:rowOff>50800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866937A-48AE-4B15-A51A-DB58DB142F9C}"/>
            </a:ext>
          </a:extLst>
        </xdr:cNvPr>
        <xdr:cNvSpPr/>
      </xdr:nvSpPr>
      <xdr:spPr>
        <a:xfrm>
          <a:off x="1854195" y="816184"/>
          <a:ext cx="1032933" cy="4538136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465665</xdr:colOff>
      <xdr:row>16</xdr:row>
      <xdr:rowOff>101604</xdr:rowOff>
    </xdr:from>
    <xdr:to>
      <xdr:col>2</xdr:col>
      <xdr:colOff>519665</xdr:colOff>
      <xdr:row>18</xdr:row>
      <xdr:rowOff>169338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88968556-C82F-43CB-9864-1ECAAA83C048}"/>
            </a:ext>
          </a:extLst>
        </xdr:cNvPr>
        <xdr:cNvSpPr/>
      </xdr:nvSpPr>
      <xdr:spPr>
        <a:xfrm>
          <a:off x="1684865" y="3081871"/>
          <a:ext cx="54000" cy="440267"/>
        </a:xfrm>
        <a:prstGeom prst="roundRect">
          <a:avLst/>
        </a:prstGeom>
        <a:solidFill>
          <a:srgbClr val="DADF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3</xdr:col>
      <xdr:colOff>110065</xdr:colOff>
      <xdr:row>4</xdr:row>
      <xdr:rowOff>152396</xdr:rowOff>
    </xdr:from>
    <xdr:to>
      <xdr:col>4</xdr:col>
      <xdr:colOff>524932</xdr:colOff>
      <xdr:row>6</xdr:row>
      <xdr:rowOff>118530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F1E38449-459C-407A-82E7-A85DEB63EEAF}"/>
            </a:ext>
          </a:extLst>
        </xdr:cNvPr>
        <xdr:cNvGrpSpPr/>
      </xdr:nvGrpSpPr>
      <xdr:grpSpPr>
        <a:xfrm>
          <a:off x="1938865" y="897463"/>
          <a:ext cx="1024467" cy="338667"/>
          <a:chOff x="2057401" y="982133"/>
          <a:chExt cx="1024467" cy="338667"/>
        </a:xfrm>
      </xdr:grpSpPr>
      <xdr:sp macro="" textlink="Sheet1!C21">
        <xdr:nvSpPr>
          <xdr:cNvPr id="22" name="TextBox 21">
            <a:extLst>
              <a:ext uri="{FF2B5EF4-FFF2-40B4-BE49-F238E27FC236}">
                <a16:creationId xmlns:a16="http://schemas.microsoft.com/office/drawing/2014/main" id="{E3FFD16A-EC9F-4FFE-9903-9D9D8CFEDEA8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E8F972BE-4DBE-4781-B5A1-1E644F888CF7}" type="TxLink">
              <a:rPr lang="en-US" sz="800" b="0" i="0" u="none" strike="noStrike">
                <a:solidFill>
                  <a:srgbClr val="232C33"/>
                </a:solidFill>
                <a:latin typeface="Montserrat"/>
                <a:cs typeface="Calibri"/>
              </a:rPr>
              <a:t>Visits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1">
        <xdr:nvSpPr>
          <xdr:cNvPr id="23" name="TextBox 22">
            <a:extLst>
              <a:ext uri="{FF2B5EF4-FFF2-40B4-BE49-F238E27FC236}">
                <a16:creationId xmlns:a16="http://schemas.microsoft.com/office/drawing/2014/main" id="{BD5E36AB-532E-4995-A51D-7F7F3E9639C0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827F006B-0E32-4739-BFB6-0681DADFAFBC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65 800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7</xdr:row>
      <xdr:rowOff>51737</xdr:rowOff>
    </xdr:from>
    <xdr:to>
      <xdr:col>4</xdr:col>
      <xdr:colOff>524932</xdr:colOff>
      <xdr:row>9</xdr:row>
      <xdr:rowOff>17871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4BAFF549-3C4E-47C2-932A-9323CC3C2924}"/>
            </a:ext>
          </a:extLst>
        </xdr:cNvPr>
        <xdr:cNvGrpSpPr/>
      </xdr:nvGrpSpPr>
      <xdr:grpSpPr>
        <a:xfrm>
          <a:off x="1938865" y="1355604"/>
          <a:ext cx="1024467" cy="338667"/>
          <a:chOff x="2057401" y="982133"/>
          <a:chExt cx="1024467" cy="338667"/>
        </a:xfrm>
      </xdr:grpSpPr>
      <xdr:sp macro="" textlink="Sheet1!C22">
        <xdr:nvSpPr>
          <xdr:cNvPr id="25" name="TextBox 24">
            <a:extLst>
              <a:ext uri="{FF2B5EF4-FFF2-40B4-BE49-F238E27FC236}">
                <a16:creationId xmlns:a16="http://schemas.microsoft.com/office/drawing/2014/main" id="{9CFD238F-FF31-42ED-81BF-5A47F949C239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CD7EBB09-ED16-4DF8-B22B-3F39D09920D8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Page Views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2">
        <xdr:nvSpPr>
          <xdr:cNvPr id="26" name="TextBox 25">
            <a:extLst>
              <a:ext uri="{FF2B5EF4-FFF2-40B4-BE49-F238E27FC236}">
                <a16:creationId xmlns:a16="http://schemas.microsoft.com/office/drawing/2014/main" id="{ED88C754-0A05-4A74-9522-72932A294633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BD2C5464-BA9D-4BBD-B781-0CAD6312CFD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100 480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12</xdr:row>
      <xdr:rowOff>36686</xdr:rowOff>
    </xdr:from>
    <xdr:to>
      <xdr:col>4</xdr:col>
      <xdr:colOff>524932</xdr:colOff>
      <xdr:row>14</xdr:row>
      <xdr:rowOff>2820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9CB81D30-06F5-4DF6-9222-A2ADA098F32D}"/>
            </a:ext>
          </a:extLst>
        </xdr:cNvPr>
        <xdr:cNvGrpSpPr/>
      </xdr:nvGrpSpPr>
      <xdr:grpSpPr>
        <a:xfrm>
          <a:off x="1938865" y="2271886"/>
          <a:ext cx="1024467" cy="338667"/>
          <a:chOff x="2057401" y="982133"/>
          <a:chExt cx="1024467" cy="338667"/>
        </a:xfrm>
      </xdr:grpSpPr>
      <xdr:sp macro="" textlink="Sheet1!C24">
        <xdr:nvSpPr>
          <xdr:cNvPr id="28" name="TextBox 27">
            <a:extLst>
              <a:ext uri="{FF2B5EF4-FFF2-40B4-BE49-F238E27FC236}">
                <a16:creationId xmlns:a16="http://schemas.microsoft.com/office/drawing/2014/main" id="{CB89B78B-257B-426E-809E-CC32E239143E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5D1171C4-F89D-4EED-9A67-166015A6784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Exit Rate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4">
        <xdr:nvSpPr>
          <xdr:cNvPr id="29" name="TextBox 28">
            <a:extLst>
              <a:ext uri="{FF2B5EF4-FFF2-40B4-BE49-F238E27FC236}">
                <a16:creationId xmlns:a16="http://schemas.microsoft.com/office/drawing/2014/main" id="{F50B86BA-4E36-4C22-BD25-8750049DC97A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EA9F93C-5BFD-4170-82A0-3901DA7DD540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44%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14</xdr:row>
      <xdr:rowOff>122294</xdr:rowOff>
    </xdr:from>
    <xdr:to>
      <xdr:col>4</xdr:col>
      <xdr:colOff>524932</xdr:colOff>
      <xdr:row>16</xdr:row>
      <xdr:rowOff>88427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F460F05F-8079-4875-8E4B-62C1A4158BCF}"/>
            </a:ext>
          </a:extLst>
        </xdr:cNvPr>
        <xdr:cNvGrpSpPr/>
      </xdr:nvGrpSpPr>
      <xdr:grpSpPr>
        <a:xfrm>
          <a:off x="1938865" y="2730027"/>
          <a:ext cx="1024467" cy="338667"/>
          <a:chOff x="2057401" y="982133"/>
          <a:chExt cx="1024467" cy="338667"/>
        </a:xfrm>
      </xdr:grpSpPr>
      <xdr:sp macro="" textlink="Sheet1!C25">
        <xdr:nvSpPr>
          <xdr:cNvPr id="31" name="TextBox 30">
            <a:extLst>
              <a:ext uri="{FF2B5EF4-FFF2-40B4-BE49-F238E27FC236}">
                <a16:creationId xmlns:a16="http://schemas.microsoft.com/office/drawing/2014/main" id="{0594F035-F950-4544-98D3-6760C57DC6ED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4BFED5A9-BD6C-4B75-A128-14BA340D304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Organic Traffic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5">
        <xdr:nvSpPr>
          <xdr:cNvPr id="32" name="TextBox 31">
            <a:extLst>
              <a:ext uri="{FF2B5EF4-FFF2-40B4-BE49-F238E27FC236}">
                <a16:creationId xmlns:a16="http://schemas.microsoft.com/office/drawing/2014/main" id="{5D3760BE-F71D-4B2B-AC52-9C689FEA20C4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F79400B-C723-4186-BD3A-811C05F2A073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31 300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17</xdr:row>
      <xdr:rowOff>21635</xdr:rowOff>
    </xdr:from>
    <xdr:to>
      <xdr:col>4</xdr:col>
      <xdr:colOff>524932</xdr:colOff>
      <xdr:row>18</xdr:row>
      <xdr:rowOff>174035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93B38B2-3449-478A-814E-0C3B21F8F099}"/>
            </a:ext>
          </a:extLst>
        </xdr:cNvPr>
        <xdr:cNvGrpSpPr/>
      </xdr:nvGrpSpPr>
      <xdr:grpSpPr>
        <a:xfrm>
          <a:off x="1938865" y="3188168"/>
          <a:ext cx="1024467" cy="338667"/>
          <a:chOff x="2057401" y="982133"/>
          <a:chExt cx="1024467" cy="338667"/>
        </a:xfrm>
      </xdr:grpSpPr>
      <xdr:sp macro="" textlink="Sheet1!C26">
        <xdr:nvSpPr>
          <xdr:cNvPr id="34" name="TextBox 33">
            <a:extLst>
              <a:ext uri="{FF2B5EF4-FFF2-40B4-BE49-F238E27FC236}">
                <a16:creationId xmlns:a16="http://schemas.microsoft.com/office/drawing/2014/main" id="{4806C5F3-37E1-4FB5-89EC-40610084B02E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1211C3E6-3A3A-4BDF-B05B-283A3808546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Paid Traffic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6">
        <xdr:nvSpPr>
          <xdr:cNvPr id="35" name="TextBox 34">
            <a:extLst>
              <a:ext uri="{FF2B5EF4-FFF2-40B4-BE49-F238E27FC236}">
                <a16:creationId xmlns:a16="http://schemas.microsoft.com/office/drawing/2014/main" id="{64DA23A8-3E19-4592-9726-B97FA580FECE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AF3822E2-8F45-45A3-A0A9-137CD83DF818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7 280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19</xdr:row>
      <xdr:rowOff>107242</xdr:rowOff>
    </xdr:from>
    <xdr:to>
      <xdr:col>4</xdr:col>
      <xdr:colOff>524932</xdr:colOff>
      <xdr:row>21</xdr:row>
      <xdr:rowOff>73376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E7A47F87-CAAC-47EA-89CC-3A864FD0B52F}"/>
            </a:ext>
          </a:extLst>
        </xdr:cNvPr>
        <xdr:cNvGrpSpPr/>
      </xdr:nvGrpSpPr>
      <xdr:grpSpPr>
        <a:xfrm>
          <a:off x="1938865" y="3646309"/>
          <a:ext cx="1024467" cy="338667"/>
          <a:chOff x="2057401" y="982133"/>
          <a:chExt cx="1024467" cy="338667"/>
        </a:xfrm>
      </xdr:grpSpPr>
      <xdr:sp macro="" textlink="Sheet1!C27">
        <xdr:nvSpPr>
          <xdr:cNvPr id="37" name="TextBox 36">
            <a:extLst>
              <a:ext uri="{FF2B5EF4-FFF2-40B4-BE49-F238E27FC236}">
                <a16:creationId xmlns:a16="http://schemas.microsoft.com/office/drawing/2014/main" id="{36B86617-C4CF-440E-83AE-6604EEE384FB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CEE23843-822A-4CB9-A810-568B837D8B9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Direct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7">
        <xdr:nvSpPr>
          <xdr:cNvPr id="38" name="TextBox 37">
            <a:extLst>
              <a:ext uri="{FF2B5EF4-FFF2-40B4-BE49-F238E27FC236}">
                <a16:creationId xmlns:a16="http://schemas.microsoft.com/office/drawing/2014/main" id="{63CF4EB8-51EC-46C7-8BAE-C715E1ECA245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ECD9853-913F-4973-B0E2-CC02CEF99FAA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7 750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22</xdr:row>
      <xdr:rowOff>6583</xdr:rowOff>
    </xdr:from>
    <xdr:to>
      <xdr:col>4</xdr:col>
      <xdr:colOff>524932</xdr:colOff>
      <xdr:row>23</xdr:row>
      <xdr:rowOff>158984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49BD698A-198F-458A-8A8E-028938500E19}"/>
            </a:ext>
          </a:extLst>
        </xdr:cNvPr>
        <xdr:cNvGrpSpPr/>
      </xdr:nvGrpSpPr>
      <xdr:grpSpPr>
        <a:xfrm>
          <a:off x="1938865" y="4104450"/>
          <a:ext cx="1024467" cy="338667"/>
          <a:chOff x="2057401" y="982133"/>
          <a:chExt cx="1024467" cy="338667"/>
        </a:xfrm>
      </xdr:grpSpPr>
      <xdr:sp macro="" textlink="Sheet1!C28">
        <xdr:nvSpPr>
          <xdr:cNvPr id="40" name="TextBox 39">
            <a:extLst>
              <a:ext uri="{FF2B5EF4-FFF2-40B4-BE49-F238E27FC236}">
                <a16:creationId xmlns:a16="http://schemas.microsoft.com/office/drawing/2014/main" id="{552A46D6-77CB-45AC-8EB5-E3FF633C831E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95A9C768-8B7C-496E-80EA-AE998DEB5256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Social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8">
        <xdr:nvSpPr>
          <xdr:cNvPr id="41" name="TextBox 40">
            <a:extLst>
              <a:ext uri="{FF2B5EF4-FFF2-40B4-BE49-F238E27FC236}">
                <a16:creationId xmlns:a16="http://schemas.microsoft.com/office/drawing/2014/main" id="{A50B7D67-5DE3-4742-9755-E0E040A14447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D7D2AB42-D141-4AA0-916A-1D63FFE52F93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2 540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24</xdr:row>
      <xdr:rowOff>92191</xdr:rowOff>
    </xdr:from>
    <xdr:to>
      <xdr:col>4</xdr:col>
      <xdr:colOff>524932</xdr:colOff>
      <xdr:row>26</xdr:row>
      <xdr:rowOff>58325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A49BC531-258B-4E6F-9F94-9BD4EA10708C}"/>
            </a:ext>
          </a:extLst>
        </xdr:cNvPr>
        <xdr:cNvGrpSpPr/>
      </xdr:nvGrpSpPr>
      <xdr:grpSpPr>
        <a:xfrm>
          <a:off x="1938865" y="4562591"/>
          <a:ext cx="1024467" cy="338667"/>
          <a:chOff x="2057401" y="982133"/>
          <a:chExt cx="1024467" cy="338667"/>
        </a:xfrm>
      </xdr:grpSpPr>
      <xdr:sp macro="" textlink="Sheet1!C29">
        <xdr:nvSpPr>
          <xdr:cNvPr id="43" name="TextBox 42">
            <a:extLst>
              <a:ext uri="{FF2B5EF4-FFF2-40B4-BE49-F238E27FC236}">
                <a16:creationId xmlns:a16="http://schemas.microsoft.com/office/drawing/2014/main" id="{6EBCD71B-37D3-4A53-BBA7-BC2A395B4F73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E20ED74-2368-4D5F-A802-C7EAEFE5DAC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Referral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9">
        <xdr:nvSpPr>
          <xdr:cNvPr id="44" name="TextBox 43">
            <a:extLst>
              <a:ext uri="{FF2B5EF4-FFF2-40B4-BE49-F238E27FC236}">
                <a16:creationId xmlns:a16="http://schemas.microsoft.com/office/drawing/2014/main" id="{B75A04E2-25A1-4798-B4E9-53A81FDD9F0C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64169426-2861-4E52-AE1E-A2867C8C861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16 930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26</xdr:row>
      <xdr:rowOff>177801</xdr:rowOff>
    </xdr:from>
    <xdr:to>
      <xdr:col>4</xdr:col>
      <xdr:colOff>524932</xdr:colOff>
      <xdr:row>28</xdr:row>
      <xdr:rowOff>143934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23D37E25-E3D2-4B99-94A1-919DBD9C6A18}"/>
            </a:ext>
          </a:extLst>
        </xdr:cNvPr>
        <xdr:cNvGrpSpPr/>
      </xdr:nvGrpSpPr>
      <xdr:grpSpPr>
        <a:xfrm>
          <a:off x="1938865" y="5020734"/>
          <a:ext cx="1024467" cy="338667"/>
          <a:chOff x="2057401" y="982133"/>
          <a:chExt cx="1024467" cy="338667"/>
        </a:xfrm>
      </xdr:grpSpPr>
      <xdr:sp macro="" textlink="Sheet1!C30">
        <xdr:nvSpPr>
          <xdr:cNvPr id="46" name="TextBox 45">
            <a:extLst>
              <a:ext uri="{FF2B5EF4-FFF2-40B4-BE49-F238E27FC236}">
                <a16:creationId xmlns:a16="http://schemas.microsoft.com/office/drawing/2014/main" id="{04EB8066-CC83-419F-8032-B66A16E0E0D7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98944F5-3273-43A3-A780-8A6B80228414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Top Location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30">
        <xdr:nvSpPr>
          <xdr:cNvPr id="47" name="TextBox 46">
            <a:extLst>
              <a:ext uri="{FF2B5EF4-FFF2-40B4-BE49-F238E27FC236}">
                <a16:creationId xmlns:a16="http://schemas.microsoft.com/office/drawing/2014/main" id="{B88C4FEB-1494-4C45-8F94-4D7C56E77193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46B869EF-1FDB-4E88-BF2E-7D10528AE82C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Japan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9</xdr:row>
      <xdr:rowOff>137345</xdr:rowOff>
    </xdr:from>
    <xdr:to>
      <xdr:col>4</xdr:col>
      <xdr:colOff>524932</xdr:colOff>
      <xdr:row>11</xdr:row>
      <xdr:rowOff>103479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10CF6C6D-0B2F-4D89-99D0-231AA3B9517D}"/>
            </a:ext>
          </a:extLst>
        </xdr:cNvPr>
        <xdr:cNvGrpSpPr/>
      </xdr:nvGrpSpPr>
      <xdr:grpSpPr>
        <a:xfrm>
          <a:off x="1938865" y="1813745"/>
          <a:ext cx="1024467" cy="338667"/>
          <a:chOff x="2057401" y="982133"/>
          <a:chExt cx="1024467" cy="338667"/>
        </a:xfrm>
      </xdr:grpSpPr>
      <xdr:sp macro="" textlink="Sheet1!C23">
        <xdr:nvSpPr>
          <xdr:cNvPr id="49" name="TextBox 48">
            <a:extLst>
              <a:ext uri="{FF2B5EF4-FFF2-40B4-BE49-F238E27FC236}">
                <a16:creationId xmlns:a16="http://schemas.microsoft.com/office/drawing/2014/main" id="{C1AFA1A3-FA6C-4B47-8836-7AE55381BA64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64F3898-E2B5-45B5-9AC1-3DE54A3C1A8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Bounce Rate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3">
        <xdr:nvSpPr>
          <xdr:cNvPr id="50" name="TextBox 49">
            <a:extLst>
              <a:ext uri="{FF2B5EF4-FFF2-40B4-BE49-F238E27FC236}">
                <a16:creationId xmlns:a16="http://schemas.microsoft.com/office/drawing/2014/main" id="{956F09E3-C4ED-4818-93EA-1A756F599FC2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8FD1269B-3FF7-4124-B443-2187D69E253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45%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5</xdr:col>
      <xdr:colOff>3396</xdr:colOff>
      <xdr:row>4</xdr:row>
      <xdr:rowOff>84664</xdr:rowOff>
    </xdr:from>
    <xdr:to>
      <xdr:col>9</xdr:col>
      <xdr:colOff>264996</xdr:colOff>
      <xdr:row>14</xdr:row>
      <xdr:rowOff>93998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DB7AEBBE-B3A4-493D-90DD-E33FDAD3C278}"/>
            </a:ext>
          </a:extLst>
        </xdr:cNvPr>
        <xdr:cNvSpPr/>
      </xdr:nvSpPr>
      <xdr:spPr>
        <a:xfrm>
          <a:off x="3051396" y="816184"/>
          <a:ext cx="2700000" cy="183813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9</xdr:col>
      <xdr:colOff>429266</xdr:colOff>
      <xdr:row>4</xdr:row>
      <xdr:rowOff>84664</xdr:rowOff>
    </xdr:from>
    <xdr:to>
      <xdr:col>14</xdr:col>
      <xdr:colOff>81266</xdr:colOff>
      <xdr:row>14</xdr:row>
      <xdr:rowOff>93998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BD227D30-DC65-4E41-915E-6AB53AB86361}"/>
            </a:ext>
          </a:extLst>
        </xdr:cNvPr>
        <xdr:cNvSpPr/>
      </xdr:nvSpPr>
      <xdr:spPr>
        <a:xfrm>
          <a:off x="5915666" y="816184"/>
          <a:ext cx="2700000" cy="183813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14</xdr:col>
      <xdr:colOff>245535</xdr:colOff>
      <xdr:row>4</xdr:row>
      <xdr:rowOff>84664</xdr:rowOff>
    </xdr:from>
    <xdr:to>
      <xdr:col>18</xdr:col>
      <xdr:colOff>507135</xdr:colOff>
      <xdr:row>25</xdr:row>
      <xdr:rowOff>97064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A9EAA5A0-C449-4AA8-AB8E-BF7B4A8A75B2}"/>
            </a:ext>
          </a:extLst>
        </xdr:cNvPr>
        <xdr:cNvSpPr/>
      </xdr:nvSpPr>
      <xdr:spPr>
        <a:xfrm>
          <a:off x="8779935" y="816184"/>
          <a:ext cx="2700000" cy="385288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3396</xdr:colOff>
      <xdr:row>15</xdr:row>
      <xdr:rowOff>87731</xdr:rowOff>
    </xdr:from>
    <xdr:to>
      <xdr:col>9</xdr:col>
      <xdr:colOff>264996</xdr:colOff>
      <xdr:row>25</xdr:row>
      <xdr:rowOff>97064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75A1DECC-8A51-46E3-ADE0-225C28D9048B}"/>
            </a:ext>
          </a:extLst>
        </xdr:cNvPr>
        <xdr:cNvSpPr/>
      </xdr:nvSpPr>
      <xdr:spPr>
        <a:xfrm>
          <a:off x="3051396" y="2830931"/>
          <a:ext cx="2700000" cy="183813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9</xdr:col>
      <xdr:colOff>429266</xdr:colOff>
      <xdr:row>15</xdr:row>
      <xdr:rowOff>87731</xdr:rowOff>
    </xdr:from>
    <xdr:to>
      <xdr:col>14</xdr:col>
      <xdr:colOff>81266</xdr:colOff>
      <xdr:row>25</xdr:row>
      <xdr:rowOff>97064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1177EA44-DB47-4423-BCD4-FD7A1CB58C99}"/>
            </a:ext>
          </a:extLst>
        </xdr:cNvPr>
        <xdr:cNvSpPr/>
      </xdr:nvSpPr>
      <xdr:spPr>
        <a:xfrm>
          <a:off x="5915666" y="2830931"/>
          <a:ext cx="2700000" cy="183813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33867</xdr:colOff>
      <xdr:row>4</xdr:row>
      <xdr:rowOff>110066</xdr:rowOff>
    </xdr:from>
    <xdr:to>
      <xdr:col>9</xdr:col>
      <xdr:colOff>245533</xdr:colOff>
      <xdr:row>14</xdr:row>
      <xdr:rowOff>8467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DC12769A-D71A-40AE-BD9E-F8D337188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452130</xdr:colOff>
      <xdr:row>4</xdr:row>
      <xdr:rowOff>101600</xdr:rowOff>
    </xdr:from>
    <xdr:to>
      <xdr:col>14</xdr:col>
      <xdr:colOff>8468</xdr:colOff>
      <xdr:row>14</xdr:row>
      <xdr:rowOff>67734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D76E8525-8510-4070-BA6A-E939FEFCD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429266</xdr:colOff>
      <xdr:row>4</xdr:row>
      <xdr:rowOff>84664</xdr:rowOff>
    </xdr:from>
    <xdr:to>
      <xdr:col>12</xdr:col>
      <xdr:colOff>90599</xdr:colOff>
      <xdr:row>5</xdr:row>
      <xdr:rowOff>135465</xdr:rowOff>
    </xdr:to>
    <xdr:sp macro="" textlink="">
      <xdr:nvSpPr>
        <xdr:cNvPr id="58" name="TextBox 1">
          <a:extLst>
            <a:ext uri="{FF2B5EF4-FFF2-40B4-BE49-F238E27FC236}">
              <a16:creationId xmlns:a16="http://schemas.microsoft.com/office/drawing/2014/main" id="{BB342BAF-8A88-4128-B2C2-A88A96BFCA14}"/>
            </a:ext>
          </a:extLst>
        </xdr:cNvPr>
        <xdr:cNvSpPr txBox="1"/>
      </xdr:nvSpPr>
      <xdr:spPr>
        <a:xfrm>
          <a:off x="5915666" y="816184"/>
          <a:ext cx="1490133" cy="233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Bounce &amp; Exit Rate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5</xdr:col>
      <xdr:colOff>33866</xdr:colOff>
      <xdr:row>15</xdr:row>
      <xdr:rowOff>110066</xdr:rowOff>
    </xdr:from>
    <xdr:to>
      <xdr:col>9</xdr:col>
      <xdr:colOff>211667</xdr:colOff>
      <xdr:row>25</xdr:row>
      <xdr:rowOff>25399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C705D93D-DD85-4ED0-99BA-7F79D8E1A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3397</xdr:colOff>
      <xdr:row>15</xdr:row>
      <xdr:rowOff>87731</xdr:rowOff>
    </xdr:from>
    <xdr:to>
      <xdr:col>7</xdr:col>
      <xdr:colOff>274330</xdr:colOff>
      <xdr:row>16</xdr:row>
      <xdr:rowOff>138531</xdr:rowOff>
    </xdr:to>
    <xdr:sp macro="" textlink="">
      <xdr:nvSpPr>
        <xdr:cNvPr id="60" name="TextBox 1">
          <a:extLst>
            <a:ext uri="{FF2B5EF4-FFF2-40B4-BE49-F238E27FC236}">
              <a16:creationId xmlns:a16="http://schemas.microsoft.com/office/drawing/2014/main" id="{96621D55-2EBF-4049-88C1-5DF85596849C}"/>
            </a:ext>
          </a:extLst>
        </xdr:cNvPr>
        <xdr:cNvSpPr txBox="1"/>
      </xdr:nvSpPr>
      <xdr:spPr>
        <a:xfrm>
          <a:off x="3051397" y="2830931"/>
          <a:ext cx="1490133" cy="233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Organic vs. Paid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9</xdr:col>
      <xdr:colOff>482600</xdr:colOff>
      <xdr:row>15</xdr:row>
      <xdr:rowOff>155464</xdr:rowOff>
    </xdr:from>
    <xdr:to>
      <xdr:col>14</xdr:col>
      <xdr:colOff>16934</xdr:colOff>
      <xdr:row>25</xdr:row>
      <xdr:rowOff>16933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58354E15-0492-449F-B5F9-E1AC97BA4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429266</xdr:colOff>
      <xdr:row>15</xdr:row>
      <xdr:rowOff>87731</xdr:rowOff>
    </xdr:from>
    <xdr:to>
      <xdr:col>13</xdr:col>
      <xdr:colOff>313267</xdr:colOff>
      <xdr:row>16</xdr:row>
      <xdr:rowOff>160866</xdr:rowOff>
    </xdr:to>
    <xdr:sp macro="" textlink="">
      <xdr:nvSpPr>
        <xdr:cNvPr id="62" name="TextBox 1">
          <a:extLst>
            <a:ext uri="{FF2B5EF4-FFF2-40B4-BE49-F238E27FC236}">
              <a16:creationId xmlns:a16="http://schemas.microsoft.com/office/drawing/2014/main" id="{A942DC65-1A0E-4349-A431-4FCF36CEF732}"/>
            </a:ext>
          </a:extLst>
        </xdr:cNvPr>
        <xdr:cNvSpPr txBox="1"/>
      </xdr:nvSpPr>
      <xdr:spPr>
        <a:xfrm>
          <a:off x="5915666" y="2830931"/>
          <a:ext cx="2322401" cy="256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Direct vs. Social</a:t>
          </a:r>
          <a:r>
            <a:rPr lang="en-US" sz="900" b="1" i="0" u="none" strike="noStrike" baseline="0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 vs. Referral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14</xdr:col>
      <xdr:colOff>287868</xdr:colOff>
      <xdr:row>6</xdr:row>
      <xdr:rowOff>59265</xdr:rowOff>
    </xdr:from>
    <xdr:to>
      <xdr:col>18</xdr:col>
      <xdr:colOff>465666</xdr:colOff>
      <xdr:row>21</xdr:row>
      <xdr:rowOff>135467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58B8E5F5-FCBD-4598-B9DF-1C1069742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14</xdr:col>
      <xdr:colOff>245535</xdr:colOff>
      <xdr:row>4</xdr:row>
      <xdr:rowOff>84664</xdr:rowOff>
    </xdr:from>
    <xdr:to>
      <xdr:col>16</xdr:col>
      <xdr:colOff>516468</xdr:colOff>
      <xdr:row>5</xdr:row>
      <xdr:rowOff>135465</xdr:rowOff>
    </xdr:to>
    <xdr:sp macro="" textlink="">
      <xdr:nvSpPr>
        <xdr:cNvPr id="64" name="TextBox 1">
          <a:extLst>
            <a:ext uri="{FF2B5EF4-FFF2-40B4-BE49-F238E27FC236}">
              <a16:creationId xmlns:a16="http://schemas.microsoft.com/office/drawing/2014/main" id="{4459E846-4E4A-48DE-9E6C-CC6F7B599B70}"/>
            </a:ext>
          </a:extLst>
        </xdr:cNvPr>
        <xdr:cNvSpPr txBox="1"/>
      </xdr:nvSpPr>
      <xdr:spPr>
        <a:xfrm>
          <a:off x="8779935" y="816184"/>
          <a:ext cx="1490133" cy="233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Geographic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5</xdr:col>
      <xdr:colOff>3396</xdr:colOff>
      <xdr:row>26</xdr:row>
      <xdr:rowOff>44400</xdr:rowOff>
    </xdr:from>
    <xdr:to>
      <xdr:col>9</xdr:col>
      <xdr:colOff>264996</xdr:colOff>
      <xdr:row>29</xdr:row>
      <xdr:rowOff>50800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4EF2CB7D-809E-44CD-9F09-9368B376D904}"/>
            </a:ext>
          </a:extLst>
        </xdr:cNvPr>
        <xdr:cNvSpPr/>
      </xdr:nvSpPr>
      <xdr:spPr>
        <a:xfrm>
          <a:off x="3051396" y="4799280"/>
          <a:ext cx="2700000" cy="5550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406400</xdr:colOff>
      <xdr:row>26</xdr:row>
      <xdr:rowOff>25400</xdr:rowOff>
    </xdr:from>
    <xdr:to>
      <xdr:col>9</xdr:col>
      <xdr:colOff>264996</xdr:colOff>
      <xdr:row>29</xdr:row>
      <xdr:rowOff>30598</xdr:rowOff>
    </xdr:to>
    <xdr:sp macro="" textlink="Sheet1!C34">
      <xdr:nvSpPr>
        <xdr:cNvPr id="66" name="Rectangle 65">
          <a:extLst>
            <a:ext uri="{FF2B5EF4-FFF2-40B4-BE49-F238E27FC236}">
              <a16:creationId xmlns:a16="http://schemas.microsoft.com/office/drawing/2014/main" id="{76B77A58-99BA-480D-9C52-DFA41EEADE82}"/>
            </a:ext>
          </a:extLst>
        </xdr:cNvPr>
        <xdr:cNvSpPr/>
      </xdr:nvSpPr>
      <xdr:spPr>
        <a:xfrm>
          <a:off x="3454400" y="4780280"/>
          <a:ext cx="2296996" cy="55383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>
    <xdr:from>
      <xdr:col>9</xdr:col>
      <xdr:colOff>429266</xdr:colOff>
      <xdr:row>26</xdr:row>
      <xdr:rowOff>44400</xdr:rowOff>
    </xdr:from>
    <xdr:to>
      <xdr:col>14</xdr:col>
      <xdr:colOff>81266</xdr:colOff>
      <xdr:row>29</xdr:row>
      <xdr:rowOff>50800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97663E36-4D6B-4E76-8FEE-BC22806C850E}"/>
            </a:ext>
          </a:extLst>
        </xdr:cNvPr>
        <xdr:cNvSpPr/>
      </xdr:nvSpPr>
      <xdr:spPr>
        <a:xfrm>
          <a:off x="5915666" y="4799280"/>
          <a:ext cx="2700000" cy="5550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10</xdr:col>
      <xdr:colOff>237066</xdr:colOff>
      <xdr:row>26</xdr:row>
      <xdr:rowOff>42333</xdr:rowOff>
    </xdr:from>
    <xdr:to>
      <xdr:col>14</xdr:col>
      <xdr:colOff>95662</xdr:colOff>
      <xdr:row>29</xdr:row>
      <xdr:rowOff>47531</xdr:rowOff>
    </xdr:to>
    <xdr:sp macro="" textlink="Sheet1!C34">
      <xdr:nvSpPr>
        <xdr:cNvPr id="68" name="Rectangle 67">
          <a:extLst>
            <a:ext uri="{FF2B5EF4-FFF2-40B4-BE49-F238E27FC236}">
              <a16:creationId xmlns:a16="http://schemas.microsoft.com/office/drawing/2014/main" id="{65080456-F877-4C98-9FCE-298585685B56}"/>
            </a:ext>
          </a:extLst>
        </xdr:cNvPr>
        <xdr:cNvSpPr/>
      </xdr:nvSpPr>
      <xdr:spPr>
        <a:xfrm>
          <a:off x="6333066" y="4797213"/>
          <a:ext cx="2296996" cy="55383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>
    <xdr:from>
      <xdr:col>14</xdr:col>
      <xdr:colOff>245535</xdr:colOff>
      <xdr:row>26</xdr:row>
      <xdr:rowOff>44400</xdr:rowOff>
    </xdr:from>
    <xdr:to>
      <xdr:col>18</xdr:col>
      <xdr:colOff>507135</xdr:colOff>
      <xdr:row>29</xdr:row>
      <xdr:rowOff>50800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5A569EB6-AEFE-40EC-9075-383ABC22E467}"/>
            </a:ext>
          </a:extLst>
        </xdr:cNvPr>
        <xdr:cNvSpPr/>
      </xdr:nvSpPr>
      <xdr:spPr>
        <a:xfrm>
          <a:off x="8779935" y="4799280"/>
          <a:ext cx="2700000" cy="5550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15</xdr:col>
      <xdr:colOff>42332</xdr:colOff>
      <xdr:row>26</xdr:row>
      <xdr:rowOff>42333</xdr:rowOff>
    </xdr:from>
    <xdr:to>
      <xdr:col>18</xdr:col>
      <xdr:colOff>510528</xdr:colOff>
      <xdr:row>29</xdr:row>
      <xdr:rowOff>47531</xdr:rowOff>
    </xdr:to>
    <xdr:sp macro="" textlink="Sheet1!C34">
      <xdr:nvSpPr>
        <xdr:cNvPr id="70" name="Rectangle 69">
          <a:extLst>
            <a:ext uri="{FF2B5EF4-FFF2-40B4-BE49-F238E27FC236}">
              <a16:creationId xmlns:a16="http://schemas.microsoft.com/office/drawing/2014/main" id="{6E1FBE2C-8FAD-4019-B3AF-4A1A1C501CCF}"/>
            </a:ext>
          </a:extLst>
        </xdr:cNvPr>
        <xdr:cNvSpPr/>
      </xdr:nvSpPr>
      <xdr:spPr>
        <a:xfrm>
          <a:off x="9186332" y="4797213"/>
          <a:ext cx="2296996" cy="55383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 editAs="oneCell">
    <xdr:from>
      <xdr:col>14</xdr:col>
      <xdr:colOff>296334</xdr:colOff>
      <xdr:row>26</xdr:row>
      <xdr:rowOff>85300</xdr:rowOff>
    </xdr:from>
    <xdr:to>
      <xdr:col>15</xdr:col>
      <xdr:colOff>118734</xdr:colOff>
      <xdr:row>28</xdr:row>
      <xdr:rowOff>144766</xdr:rowOff>
    </xdr:to>
    <xdr:pic>
      <xdr:nvPicPr>
        <xdr:cNvPr id="71" name="Graphic 70" descr="Magnifying glass with solid fill">
          <a:extLst>
            <a:ext uri="{FF2B5EF4-FFF2-40B4-BE49-F238E27FC236}">
              <a16:creationId xmlns:a16="http://schemas.microsoft.com/office/drawing/2014/main" id="{F8247F63-2C13-4A22-A5C9-4B0FE12D4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8830734" y="4840180"/>
          <a:ext cx="432000" cy="425226"/>
        </a:xfrm>
        <a:prstGeom prst="rect">
          <a:avLst/>
        </a:prstGeom>
      </xdr:spPr>
    </xdr:pic>
    <xdr:clientData/>
  </xdr:twoCellAnchor>
  <xdr:twoCellAnchor editAs="oneCell">
    <xdr:from>
      <xdr:col>9</xdr:col>
      <xdr:colOff>463266</xdr:colOff>
      <xdr:row>26</xdr:row>
      <xdr:rowOff>85300</xdr:rowOff>
    </xdr:from>
    <xdr:to>
      <xdr:col>10</xdr:col>
      <xdr:colOff>285666</xdr:colOff>
      <xdr:row>28</xdr:row>
      <xdr:rowOff>144766</xdr:rowOff>
    </xdr:to>
    <xdr:pic>
      <xdr:nvPicPr>
        <xdr:cNvPr id="72" name="Graphic 71" descr="Stopwatch with solid fill">
          <a:extLst>
            <a:ext uri="{FF2B5EF4-FFF2-40B4-BE49-F238E27FC236}">
              <a16:creationId xmlns:a16="http://schemas.microsoft.com/office/drawing/2014/main" id="{FBE4E609-BC7D-4A1B-889B-79A72A3A5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949666" y="4840180"/>
          <a:ext cx="432000" cy="425226"/>
        </a:xfrm>
        <a:prstGeom prst="rect">
          <a:avLst/>
        </a:prstGeom>
      </xdr:spPr>
    </xdr:pic>
    <xdr:clientData/>
  </xdr:twoCellAnchor>
  <xdr:twoCellAnchor editAs="oneCell">
    <xdr:from>
      <xdr:col>5</xdr:col>
      <xdr:colOff>37533</xdr:colOff>
      <xdr:row>26</xdr:row>
      <xdr:rowOff>85300</xdr:rowOff>
    </xdr:from>
    <xdr:to>
      <xdr:col>5</xdr:col>
      <xdr:colOff>469533</xdr:colOff>
      <xdr:row>28</xdr:row>
      <xdr:rowOff>144766</xdr:rowOff>
    </xdr:to>
    <xdr:pic>
      <xdr:nvPicPr>
        <xdr:cNvPr id="73" name="Graphic 72" descr="Target with solid fill">
          <a:extLst>
            <a:ext uri="{FF2B5EF4-FFF2-40B4-BE49-F238E27FC236}">
              <a16:creationId xmlns:a16="http://schemas.microsoft.com/office/drawing/2014/main" id="{A9D8669C-6A48-40FE-AE5F-EAE89ED3F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085533" y="4840180"/>
          <a:ext cx="432000" cy="425226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0.5623</cdr:x>
      <cdr:y>0.13462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2E76224-4259-4765-84E6-3257CF3C8504}"/>
            </a:ext>
          </a:extLst>
        </cdr:cNvPr>
        <cdr:cNvSpPr txBox="1"/>
      </cdr:nvSpPr>
      <cdr:spPr>
        <a:xfrm xmlns:a="http://schemas.openxmlformats.org/drawingml/2006/main">
          <a:off x="0" y="0"/>
          <a:ext cx="1490133" cy="2370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Visits &amp; Page Views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0.40129</cdr:x>
      <cdr:y>0.31858</cdr:y>
    </cdr:from>
    <cdr:to>
      <cdr:x>0.6343</cdr:x>
      <cdr:y>0.47788</cdr:y>
    </cdr:to>
    <cdr:sp macro="" textlink="Sheet1!$K$2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E1C86C3-B2A4-4F9D-8360-D346246A2FDB}"/>
            </a:ext>
          </a:extLst>
        </cdr:cNvPr>
        <cdr:cNvSpPr txBox="1"/>
      </cdr:nvSpPr>
      <cdr:spPr>
        <a:xfrm xmlns:a="http://schemas.openxmlformats.org/drawingml/2006/main">
          <a:off x="1049866" y="914402"/>
          <a:ext cx="609599" cy="4571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none" rtlCol="0" anchor="t"/>
        <a:lstStyle xmlns:a="http://schemas.openxmlformats.org/drawingml/2006/main"/>
        <a:p xmlns:a="http://schemas.openxmlformats.org/drawingml/2006/main">
          <a:pPr algn="l"/>
          <a:fld id="{BC0EC81A-FA5F-4201-8621-48F2F5E1632F}" type="TxLink">
            <a:rPr lang="en-US" sz="900" b="1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Japan
34000</a:t>
          </a:fld>
          <a:endParaRPr lang="uk-UA" sz="1000" b="1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292799</xdr:colOff>
      <xdr:row>1</xdr:row>
      <xdr:rowOff>145095</xdr:rowOff>
    </xdr:from>
    <xdr:to>
      <xdr:col>7</xdr:col>
      <xdr:colOff>433911</xdr:colOff>
      <xdr:row>37</xdr:row>
      <xdr:rowOff>47316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05AD9B1C-3802-483C-9B59-96395ADECCB6}"/>
            </a:ext>
          </a:extLst>
        </xdr:cNvPr>
        <xdr:cNvSpPr/>
      </xdr:nvSpPr>
      <xdr:spPr>
        <a:xfrm rot="5721033">
          <a:off x="-745996" y="1366770"/>
          <a:ext cx="6485901" cy="4408312"/>
        </a:xfrm>
        <a:custGeom>
          <a:avLst/>
          <a:gdLst>
            <a:gd name="connsiteX0" fmla="*/ 6438714 w 6485901"/>
            <a:gd name="connsiteY0" fmla="*/ 900976 h 4850272"/>
            <a:gd name="connsiteX1" fmla="*/ 98874 w 6485901"/>
            <a:gd name="connsiteY1" fmla="*/ 306616 h 4850272"/>
            <a:gd name="connsiteX2" fmla="*/ 2842074 w 6485901"/>
            <a:gd name="connsiteY2" fmla="*/ 4848136 h 4850272"/>
            <a:gd name="connsiteX3" fmla="*/ 6438714 w 6485901"/>
            <a:gd name="connsiteY3" fmla="*/ 900976 h 48502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485901" h="4850272">
              <a:moveTo>
                <a:pt x="6438714" y="900976"/>
              </a:moveTo>
              <a:cubicBezTo>
                <a:pt x="5981514" y="144056"/>
                <a:pt x="698314" y="-351244"/>
                <a:pt x="98874" y="306616"/>
              </a:cubicBezTo>
              <a:cubicBezTo>
                <a:pt x="-500566" y="964476"/>
                <a:pt x="1777814" y="4750346"/>
                <a:pt x="2842074" y="4848136"/>
              </a:cubicBezTo>
              <a:cubicBezTo>
                <a:pt x="3906334" y="4945926"/>
                <a:pt x="6895914" y="1657896"/>
                <a:pt x="6438714" y="900976"/>
              </a:cubicBezTo>
              <a:close/>
            </a:path>
          </a:pathLst>
        </a:custGeom>
        <a:solidFill>
          <a:srgbClr val="5A7D7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7</xdr:col>
      <xdr:colOff>260256</xdr:colOff>
      <xdr:row>4</xdr:row>
      <xdr:rowOff>94913</xdr:rowOff>
    </xdr:from>
    <xdr:to>
      <xdr:col>27</xdr:col>
      <xdr:colOff>605135</xdr:colOff>
      <xdr:row>39</xdr:row>
      <xdr:rowOff>176882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4DECB0B1-019C-4E6A-AC2D-B1E6DDA5693E}"/>
            </a:ext>
          </a:extLst>
        </xdr:cNvPr>
        <xdr:cNvSpPr/>
      </xdr:nvSpPr>
      <xdr:spPr>
        <a:xfrm rot="293933">
          <a:off x="4527456" y="826433"/>
          <a:ext cx="12536879" cy="6482769"/>
        </a:xfrm>
        <a:custGeom>
          <a:avLst/>
          <a:gdLst>
            <a:gd name="connsiteX0" fmla="*/ 6438714 w 6485901"/>
            <a:gd name="connsiteY0" fmla="*/ 900976 h 4850272"/>
            <a:gd name="connsiteX1" fmla="*/ 98874 w 6485901"/>
            <a:gd name="connsiteY1" fmla="*/ 306616 h 4850272"/>
            <a:gd name="connsiteX2" fmla="*/ 2842074 w 6485901"/>
            <a:gd name="connsiteY2" fmla="*/ 4848136 h 4850272"/>
            <a:gd name="connsiteX3" fmla="*/ 6438714 w 6485901"/>
            <a:gd name="connsiteY3" fmla="*/ 900976 h 48502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485901" h="4850272">
              <a:moveTo>
                <a:pt x="6438714" y="900976"/>
              </a:moveTo>
              <a:cubicBezTo>
                <a:pt x="5981514" y="144056"/>
                <a:pt x="698314" y="-351244"/>
                <a:pt x="98874" y="306616"/>
              </a:cubicBezTo>
              <a:cubicBezTo>
                <a:pt x="-500566" y="964476"/>
                <a:pt x="1777814" y="4750346"/>
                <a:pt x="2842074" y="4848136"/>
              </a:cubicBezTo>
              <a:cubicBezTo>
                <a:pt x="3906334" y="4945926"/>
                <a:pt x="6895914" y="1657896"/>
                <a:pt x="6438714" y="900976"/>
              </a:cubicBezTo>
              <a:close/>
            </a:path>
          </a:pathLst>
        </a:custGeom>
        <a:solidFill>
          <a:srgbClr val="B5B2C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419100</xdr:colOff>
      <xdr:row>0</xdr:row>
      <xdr:rowOff>183727</xdr:rowOff>
    </xdr:from>
    <xdr:to>
      <xdr:col>19</xdr:col>
      <xdr:colOff>0</xdr:colOff>
      <xdr:row>29</xdr:row>
      <xdr:rowOff>135467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ECF14B8-EE01-4753-AE1A-2CF09ADCCDFC}"/>
            </a:ext>
          </a:extLst>
        </xdr:cNvPr>
        <xdr:cNvSpPr/>
      </xdr:nvSpPr>
      <xdr:spPr>
        <a:xfrm>
          <a:off x="1028700" y="183727"/>
          <a:ext cx="10553700" cy="52552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441960</xdr:colOff>
      <xdr:row>3</xdr:row>
      <xdr:rowOff>167640</xdr:rowOff>
    </xdr:from>
    <xdr:to>
      <xdr:col>19</xdr:col>
      <xdr:colOff>0</xdr:colOff>
      <xdr:row>29</xdr:row>
      <xdr:rowOff>135467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5BAD541-B84C-4B6F-89EB-8853708D41C1}"/>
            </a:ext>
          </a:extLst>
        </xdr:cNvPr>
        <xdr:cNvSpPr/>
      </xdr:nvSpPr>
      <xdr:spPr>
        <a:xfrm>
          <a:off x="1661160" y="716280"/>
          <a:ext cx="9921240" cy="472270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474133</xdr:colOff>
      <xdr:row>19</xdr:row>
      <xdr:rowOff>59272</xdr:rowOff>
    </xdr:from>
    <xdr:to>
      <xdr:col>2</xdr:col>
      <xdr:colOff>412300</xdr:colOff>
      <xdr:row>22</xdr:row>
      <xdr:rowOff>16938</xdr:rowOff>
    </xdr:to>
    <xdr:sp macro="" textlink="">
      <xdr:nvSpPr>
        <xdr:cNvPr id="6" name="Pentagon 5">
          <a:extLst>
            <a:ext uri="{FF2B5EF4-FFF2-40B4-BE49-F238E27FC236}">
              <a16:creationId xmlns:a16="http://schemas.microsoft.com/office/drawing/2014/main" id="{4E3057C2-A609-4E2B-8B76-19665A546560}"/>
            </a:ext>
          </a:extLst>
        </xdr:cNvPr>
        <xdr:cNvSpPr>
          <a:spLocks noChangeAspect="1"/>
        </xdr:cNvSpPr>
      </xdr:nvSpPr>
      <xdr:spPr>
        <a:xfrm>
          <a:off x="1083733" y="3598339"/>
          <a:ext cx="547767" cy="516466"/>
        </a:xfrm>
        <a:prstGeom prst="pentagon">
          <a:avLst/>
        </a:prstGeom>
        <a:solidFill>
          <a:srgbClr val="DADF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528600</xdr:colOff>
      <xdr:row>9</xdr:row>
      <xdr:rowOff>168200</xdr:rowOff>
    </xdr:from>
    <xdr:to>
      <xdr:col>2</xdr:col>
      <xdr:colOff>351000</xdr:colOff>
      <xdr:row>25</xdr:row>
      <xdr:rowOff>82466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417F8DB-F86E-477F-8848-F1F6F682F885}"/>
            </a:ext>
          </a:extLst>
        </xdr:cNvPr>
        <xdr:cNvGrpSpPr/>
      </xdr:nvGrpSpPr>
      <xdr:grpSpPr>
        <a:xfrm>
          <a:off x="1138200" y="1844600"/>
          <a:ext cx="432000" cy="2894533"/>
          <a:chOff x="2391267" y="1268866"/>
          <a:chExt cx="432000" cy="2894533"/>
        </a:xfrm>
      </xdr:grpSpPr>
      <xdr:pic>
        <xdr:nvPicPr>
          <xdr:cNvPr id="8" name="Graphic 7" descr="Cow with solid fill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8690E44B-00E3-4957-B8D7-06CDF6ECA4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391267" y="2500132"/>
            <a:ext cx="432000" cy="432000"/>
          </a:xfrm>
          <a:prstGeom prst="rect">
            <a:avLst/>
          </a:prstGeom>
        </xdr:spPr>
      </xdr:pic>
      <xdr:pic>
        <xdr:nvPicPr>
          <xdr:cNvPr id="9" name="Graphic 8" descr="Fish with solid fill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2CB9880-D672-4BC1-B1E9-1C81654D24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391267" y="3731399"/>
            <a:ext cx="432000" cy="432000"/>
          </a:xfrm>
          <a:prstGeom prst="rect">
            <a:avLst/>
          </a:prstGeom>
        </xdr:spPr>
      </xdr:pic>
      <xdr:pic>
        <xdr:nvPicPr>
          <xdr:cNvPr id="10" name="Graphic 9" descr="Peacock with solid fill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39FBCF0D-B12B-4E84-A983-244FDEF58A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2391267" y="3115765"/>
            <a:ext cx="432000" cy="432000"/>
          </a:xfrm>
          <a:prstGeom prst="rect">
            <a:avLst/>
          </a:prstGeom>
        </xdr:spPr>
      </xdr:pic>
      <xdr:pic>
        <xdr:nvPicPr>
          <xdr:cNvPr id="11" name="Graphic 10" descr="Pig with solid fill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18EFE5BF-1F0B-42BA-AE9D-2DF7349E19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2391267" y="1884499"/>
            <a:ext cx="432000" cy="432000"/>
          </a:xfrm>
          <a:prstGeom prst="rect">
            <a:avLst/>
          </a:prstGeom>
        </xdr:spPr>
      </xdr:pic>
      <xdr:pic>
        <xdr:nvPicPr>
          <xdr:cNvPr id="12" name="Graphic 11" descr="Open hand with plant with solid fill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0E976865-0187-4EAC-9B83-2F5D166CF7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2391267" y="1268866"/>
            <a:ext cx="432000" cy="4320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270933</xdr:colOff>
      <xdr:row>1</xdr:row>
      <xdr:rowOff>97369</xdr:rowOff>
    </xdr:from>
    <xdr:to>
      <xdr:col>16</xdr:col>
      <xdr:colOff>254000</xdr:colOff>
      <xdr:row>3</xdr:row>
      <xdr:rowOff>38102</xdr:rowOff>
    </xdr:to>
    <xdr:sp macro="" textlink="Sheet1!B2">
      <xdr:nvSpPr>
        <xdr:cNvPr id="13" name="Rectangle: Rounded Corners 12">
          <a:extLst>
            <a:ext uri="{FF2B5EF4-FFF2-40B4-BE49-F238E27FC236}">
              <a16:creationId xmlns:a16="http://schemas.microsoft.com/office/drawing/2014/main" id="{8DD61F0D-CDE8-4F7F-9EB3-0A5DA20F1ED9}"/>
            </a:ext>
          </a:extLst>
        </xdr:cNvPr>
        <xdr:cNvSpPr/>
      </xdr:nvSpPr>
      <xdr:spPr>
        <a:xfrm>
          <a:off x="8805333" y="280249"/>
          <a:ext cx="1202267" cy="306493"/>
        </a:xfrm>
        <a:prstGeom prst="roundRect">
          <a:avLst/>
        </a:prstGeom>
        <a:gradFill>
          <a:gsLst>
            <a:gs pos="0">
              <a:srgbClr val="B5B2C2"/>
            </a:gs>
            <a:gs pos="82000">
              <a:srgbClr val="DADFF7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489C72C-F7AE-46F1-A8C1-2895165DC592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+mn-cs"/>
            </a:rPr>
            <a:pPr marL="0" indent="0" algn="ctr"/>
            <a:t>1st Jun - 15th Sep</a:t>
          </a:fld>
          <a:endParaRPr lang="uk-UA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414865</xdr:colOff>
      <xdr:row>1</xdr:row>
      <xdr:rowOff>169337</xdr:rowOff>
    </xdr:from>
    <xdr:to>
      <xdr:col>7</xdr:col>
      <xdr:colOff>126998</xdr:colOff>
      <xdr:row>3</xdr:row>
      <xdr:rowOff>93137</xdr:rowOff>
    </xdr:to>
    <xdr:sp macro="" textlink="Sheet1!B1">
      <xdr:nvSpPr>
        <xdr:cNvPr id="14" name="TextBox 13">
          <a:extLst>
            <a:ext uri="{FF2B5EF4-FFF2-40B4-BE49-F238E27FC236}">
              <a16:creationId xmlns:a16="http://schemas.microsoft.com/office/drawing/2014/main" id="{C064FF44-20F9-4271-8736-469FBF0143C7}"/>
            </a:ext>
          </a:extLst>
        </xdr:cNvPr>
        <xdr:cNvSpPr txBox="1"/>
      </xdr:nvSpPr>
      <xdr:spPr>
        <a:xfrm>
          <a:off x="1634065" y="352217"/>
          <a:ext cx="2760133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1D20AF4D-F9E7-42F8-9A00-3FBA50A82B68}" type="TxLink">
            <a:rPr lang="en-US" sz="1100" b="0" i="0" u="none" strike="noStrike">
              <a:solidFill>
                <a:srgbClr val="232C33"/>
              </a:solidFill>
              <a:latin typeface="Montserrat medium" panose="00000600000000000000" pitchFamily="2" charset="-52"/>
              <a:cs typeface="Calibri"/>
            </a:rPr>
            <a:t>Performance Analytics Dashboard</a:t>
          </a:fld>
          <a:endParaRPr lang="uk-UA" sz="1100" b="0" i="0" u="none" strike="noStrike">
            <a:solidFill>
              <a:srgbClr val="232C33"/>
            </a:solidFill>
            <a:latin typeface="Montserrat medium" panose="00000600000000000000" pitchFamily="2" charset="-52"/>
            <a:cs typeface="Calibri"/>
          </a:endParaRPr>
        </a:p>
      </xdr:txBody>
    </xdr:sp>
    <xdr:clientData/>
  </xdr:twoCellAnchor>
  <xdr:twoCellAnchor>
    <xdr:from>
      <xdr:col>1</xdr:col>
      <xdr:colOff>499534</xdr:colOff>
      <xdr:row>1</xdr:row>
      <xdr:rowOff>8468</xdr:rowOff>
    </xdr:from>
    <xdr:to>
      <xdr:col>2</xdr:col>
      <xdr:colOff>357934</xdr:colOff>
      <xdr:row>4</xdr:row>
      <xdr:rowOff>26392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6FE8AD0B-0196-41A1-BD86-3B84D441A76E}"/>
            </a:ext>
          </a:extLst>
        </xdr:cNvPr>
        <xdr:cNvGrpSpPr/>
      </xdr:nvGrpSpPr>
      <xdr:grpSpPr>
        <a:xfrm>
          <a:off x="1109134" y="194735"/>
          <a:ext cx="468000" cy="576724"/>
          <a:chOff x="1041400" y="186269"/>
          <a:chExt cx="468000" cy="576724"/>
        </a:xfrm>
      </xdr:grpSpPr>
      <xdr:sp macro="" textlink="">
        <xdr:nvSpPr>
          <xdr:cNvPr id="16" name="Pentagon 15">
            <a:extLst>
              <a:ext uri="{FF2B5EF4-FFF2-40B4-BE49-F238E27FC236}">
                <a16:creationId xmlns:a16="http://schemas.microsoft.com/office/drawing/2014/main" id="{A8807D30-2D23-472A-8726-91F1CFE7EFE9}"/>
              </a:ext>
            </a:extLst>
          </xdr:cNvPr>
          <xdr:cNvSpPr>
            <a:spLocks noChangeAspect="1"/>
          </xdr:cNvSpPr>
        </xdr:nvSpPr>
        <xdr:spPr>
          <a:xfrm>
            <a:off x="1041400" y="186269"/>
            <a:ext cx="468000" cy="441257"/>
          </a:xfrm>
          <a:prstGeom prst="pentagon">
            <a:avLst/>
          </a:prstGeom>
          <a:solidFill>
            <a:srgbClr val="DADF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uk-UA" sz="1100"/>
          </a:p>
        </xdr:txBody>
      </xdr:sp>
      <xdr:sp macro="" textlink="">
        <xdr:nvSpPr>
          <xdr:cNvPr id="17" name="Pentagon 16">
            <a:extLst>
              <a:ext uri="{FF2B5EF4-FFF2-40B4-BE49-F238E27FC236}">
                <a16:creationId xmlns:a16="http://schemas.microsoft.com/office/drawing/2014/main" id="{88150E74-D921-4D7F-8ADA-305B76909EBA}"/>
              </a:ext>
            </a:extLst>
          </xdr:cNvPr>
          <xdr:cNvSpPr>
            <a:spLocks noChangeAspect="1"/>
          </xdr:cNvSpPr>
        </xdr:nvSpPr>
        <xdr:spPr>
          <a:xfrm>
            <a:off x="1041400" y="321736"/>
            <a:ext cx="468000" cy="441257"/>
          </a:xfrm>
          <a:prstGeom prst="pentagon">
            <a:avLst/>
          </a:prstGeom>
          <a:gradFill>
            <a:gsLst>
              <a:gs pos="0">
                <a:srgbClr val="B5B2C2"/>
              </a:gs>
              <a:gs pos="82000">
                <a:srgbClr val="DADFF7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uk-UA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16</xdr:col>
      <xdr:colOff>431799</xdr:colOff>
      <xdr:row>1</xdr:row>
      <xdr:rowOff>97369</xdr:rowOff>
    </xdr:from>
    <xdr:to>
      <xdr:col>18</xdr:col>
      <xdr:colOff>414866</xdr:colOff>
      <xdr:row>3</xdr:row>
      <xdr:rowOff>38102</xdr:rowOff>
    </xdr:to>
    <xdr:sp macro="" textlink="Sheet1!B3">
      <xdr:nvSpPr>
        <xdr:cNvPr id="18" name="Rectangle: Rounded Corners 17">
          <a:extLst>
            <a:ext uri="{FF2B5EF4-FFF2-40B4-BE49-F238E27FC236}">
              <a16:creationId xmlns:a16="http://schemas.microsoft.com/office/drawing/2014/main" id="{E2C5FC2A-D455-4006-B289-E384E8BABDAE}"/>
            </a:ext>
          </a:extLst>
        </xdr:cNvPr>
        <xdr:cNvSpPr/>
      </xdr:nvSpPr>
      <xdr:spPr>
        <a:xfrm>
          <a:off x="10185399" y="280249"/>
          <a:ext cx="1202267" cy="306493"/>
        </a:xfrm>
        <a:prstGeom prst="roundRect">
          <a:avLst/>
        </a:prstGeom>
        <a:gradFill>
          <a:gsLst>
            <a:gs pos="0">
              <a:srgbClr val="B5B2C2"/>
            </a:gs>
            <a:gs pos="82000">
              <a:srgbClr val="DADFF7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2BEB51A-761D-41EC-B59A-E835EA583929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+mn-cs"/>
            </a:rPr>
            <a:pPr marL="0" indent="0" algn="ctr"/>
            <a:t>Quarterly Report</a:t>
          </a:fld>
          <a:endParaRPr lang="uk-UA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25395</xdr:colOff>
      <xdr:row>4</xdr:row>
      <xdr:rowOff>84664</xdr:rowOff>
    </xdr:from>
    <xdr:to>
      <xdr:col>4</xdr:col>
      <xdr:colOff>448728</xdr:colOff>
      <xdr:row>29</xdr:row>
      <xdr:rowOff>50800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C99F764-D8F4-4F76-945A-2F43925C8CE7}"/>
            </a:ext>
          </a:extLst>
        </xdr:cNvPr>
        <xdr:cNvSpPr/>
      </xdr:nvSpPr>
      <xdr:spPr>
        <a:xfrm>
          <a:off x="1854195" y="816184"/>
          <a:ext cx="1032933" cy="4538136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465665</xdr:colOff>
      <xdr:row>19</xdr:row>
      <xdr:rowOff>152404</xdr:rowOff>
    </xdr:from>
    <xdr:to>
      <xdr:col>2</xdr:col>
      <xdr:colOff>519665</xdr:colOff>
      <xdr:row>22</xdr:row>
      <xdr:rowOff>33871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6CBA06B7-C740-403F-89F7-B0BDB1C0D24D}"/>
            </a:ext>
          </a:extLst>
        </xdr:cNvPr>
        <xdr:cNvSpPr/>
      </xdr:nvSpPr>
      <xdr:spPr>
        <a:xfrm>
          <a:off x="1684865" y="3691471"/>
          <a:ext cx="54000" cy="440267"/>
        </a:xfrm>
        <a:prstGeom prst="roundRect">
          <a:avLst/>
        </a:prstGeom>
        <a:solidFill>
          <a:srgbClr val="DADF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3</xdr:col>
      <xdr:colOff>110065</xdr:colOff>
      <xdr:row>4</xdr:row>
      <xdr:rowOff>152396</xdr:rowOff>
    </xdr:from>
    <xdr:to>
      <xdr:col>4</xdr:col>
      <xdr:colOff>524932</xdr:colOff>
      <xdr:row>6</xdr:row>
      <xdr:rowOff>118530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CBF84E77-5D70-46D0-9132-5AD21A7EC4AF}"/>
            </a:ext>
          </a:extLst>
        </xdr:cNvPr>
        <xdr:cNvGrpSpPr/>
      </xdr:nvGrpSpPr>
      <xdr:grpSpPr>
        <a:xfrm>
          <a:off x="1938865" y="897463"/>
          <a:ext cx="1024467" cy="338667"/>
          <a:chOff x="2057401" y="982133"/>
          <a:chExt cx="1024467" cy="338667"/>
        </a:xfrm>
      </xdr:grpSpPr>
      <xdr:sp macro="" textlink="Sheet1!C21">
        <xdr:nvSpPr>
          <xdr:cNvPr id="22" name="TextBox 21">
            <a:extLst>
              <a:ext uri="{FF2B5EF4-FFF2-40B4-BE49-F238E27FC236}">
                <a16:creationId xmlns:a16="http://schemas.microsoft.com/office/drawing/2014/main" id="{CCDB9CB5-BC37-43B5-B04E-74175DED48C5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E8F972BE-4DBE-4781-B5A1-1E644F888CF7}" type="TxLink">
              <a:rPr lang="en-US" sz="800" b="0" i="0" u="none" strike="noStrike">
                <a:solidFill>
                  <a:srgbClr val="232C33"/>
                </a:solidFill>
                <a:latin typeface="Montserrat"/>
                <a:cs typeface="Calibri"/>
              </a:rPr>
              <a:t>Visits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1">
        <xdr:nvSpPr>
          <xdr:cNvPr id="23" name="TextBox 22">
            <a:extLst>
              <a:ext uri="{FF2B5EF4-FFF2-40B4-BE49-F238E27FC236}">
                <a16:creationId xmlns:a16="http://schemas.microsoft.com/office/drawing/2014/main" id="{A3327E61-9C52-4C63-A0E9-785F43BA6494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827F006B-0E32-4739-BFB6-0681DADFAFBC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65 800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7</xdr:row>
      <xdr:rowOff>51737</xdr:rowOff>
    </xdr:from>
    <xdr:to>
      <xdr:col>4</xdr:col>
      <xdr:colOff>524932</xdr:colOff>
      <xdr:row>9</xdr:row>
      <xdr:rowOff>17871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8D69EED6-9B61-4A35-BDA0-04AFC9D262C0}"/>
            </a:ext>
          </a:extLst>
        </xdr:cNvPr>
        <xdr:cNvGrpSpPr/>
      </xdr:nvGrpSpPr>
      <xdr:grpSpPr>
        <a:xfrm>
          <a:off x="1938865" y="1355604"/>
          <a:ext cx="1024467" cy="338667"/>
          <a:chOff x="2057401" y="982133"/>
          <a:chExt cx="1024467" cy="338667"/>
        </a:xfrm>
      </xdr:grpSpPr>
      <xdr:sp macro="" textlink="Sheet1!C22">
        <xdr:nvSpPr>
          <xdr:cNvPr id="25" name="TextBox 24">
            <a:extLst>
              <a:ext uri="{FF2B5EF4-FFF2-40B4-BE49-F238E27FC236}">
                <a16:creationId xmlns:a16="http://schemas.microsoft.com/office/drawing/2014/main" id="{14947256-F0B7-4E25-8450-D7BC74421B08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CD7EBB09-ED16-4DF8-B22B-3F39D09920D8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Page Views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2">
        <xdr:nvSpPr>
          <xdr:cNvPr id="26" name="TextBox 25">
            <a:extLst>
              <a:ext uri="{FF2B5EF4-FFF2-40B4-BE49-F238E27FC236}">
                <a16:creationId xmlns:a16="http://schemas.microsoft.com/office/drawing/2014/main" id="{1A878260-F758-4B19-A21F-B2C776FC0EF1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BD2C5464-BA9D-4BBD-B781-0CAD6312CFD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100 480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12</xdr:row>
      <xdr:rowOff>36686</xdr:rowOff>
    </xdr:from>
    <xdr:to>
      <xdr:col>4</xdr:col>
      <xdr:colOff>524932</xdr:colOff>
      <xdr:row>14</xdr:row>
      <xdr:rowOff>2820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84D5658-2E95-4ED4-9D9E-09FD3279AC0D}"/>
            </a:ext>
          </a:extLst>
        </xdr:cNvPr>
        <xdr:cNvGrpSpPr/>
      </xdr:nvGrpSpPr>
      <xdr:grpSpPr>
        <a:xfrm>
          <a:off x="1938865" y="2271886"/>
          <a:ext cx="1024467" cy="338667"/>
          <a:chOff x="2057401" y="982133"/>
          <a:chExt cx="1024467" cy="338667"/>
        </a:xfrm>
      </xdr:grpSpPr>
      <xdr:sp macro="" textlink="Sheet1!C24">
        <xdr:nvSpPr>
          <xdr:cNvPr id="28" name="TextBox 27">
            <a:extLst>
              <a:ext uri="{FF2B5EF4-FFF2-40B4-BE49-F238E27FC236}">
                <a16:creationId xmlns:a16="http://schemas.microsoft.com/office/drawing/2014/main" id="{B48B20D5-0CE4-42D2-BE40-42F341D1DE68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5D1171C4-F89D-4EED-9A67-166015A6784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Exit Rate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4">
        <xdr:nvSpPr>
          <xdr:cNvPr id="29" name="TextBox 28">
            <a:extLst>
              <a:ext uri="{FF2B5EF4-FFF2-40B4-BE49-F238E27FC236}">
                <a16:creationId xmlns:a16="http://schemas.microsoft.com/office/drawing/2014/main" id="{55CD4692-5613-4740-AE30-17D217F77664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EA9F93C-5BFD-4170-82A0-3901DA7DD540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44%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14</xdr:row>
      <xdr:rowOff>122294</xdr:rowOff>
    </xdr:from>
    <xdr:to>
      <xdr:col>4</xdr:col>
      <xdr:colOff>524932</xdr:colOff>
      <xdr:row>16</xdr:row>
      <xdr:rowOff>88427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E7BAC51A-10DC-461E-9A67-823B8484DC9D}"/>
            </a:ext>
          </a:extLst>
        </xdr:cNvPr>
        <xdr:cNvGrpSpPr/>
      </xdr:nvGrpSpPr>
      <xdr:grpSpPr>
        <a:xfrm>
          <a:off x="1938865" y="2730027"/>
          <a:ext cx="1024467" cy="338667"/>
          <a:chOff x="2057401" y="982133"/>
          <a:chExt cx="1024467" cy="338667"/>
        </a:xfrm>
      </xdr:grpSpPr>
      <xdr:sp macro="" textlink="Sheet1!C25">
        <xdr:nvSpPr>
          <xdr:cNvPr id="31" name="TextBox 30">
            <a:extLst>
              <a:ext uri="{FF2B5EF4-FFF2-40B4-BE49-F238E27FC236}">
                <a16:creationId xmlns:a16="http://schemas.microsoft.com/office/drawing/2014/main" id="{0397E0B8-AD32-4632-B80D-EBFCD6D2AA88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4BFED5A9-BD6C-4B75-A128-14BA340D304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Organic Traffic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5">
        <xdr:nvSpPr>
          <xdr:cNvPr id="32" name="TextBox 31">
            <a:extLst>
              <a:ext uri="{FF2B5EF4-FFF2-40B4-BE49-F238E27FC236}">
                <a16:creationId xmlns:a16="http://schemas.microsoft.com/office/drawing/2014/main" id="{63AA1F11-4478-4B75-9278-D879CBC26FC6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F79400B-C723-4186-BD3A-811C05F2A073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31 300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17</xdr:row>
      <xdr:rowOff>21635</xdr:rowOff>
    </xdr:from>
    <xdr:to>
      <xdr:col>4</xdr:col>
      <xdr:colOff>524932</xdr:colOff>
      <xdr:row>18</xdr:row>
      <xdr:rowOff>174035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F51CE28F-4E42-4CCC-BDBC-C9096F691CFE}"/>
            </a:ext>
          </a:extLst>
        </xdr:cNvPr>
        <xdr:cNvGrpSpPr/>
      </xdr:nvGrpSpPr>
      <xdr:grpSpPr>
        <a:xfrm>
          <a:off x="1938865" y="3188168"/>
          <a:ext cx="1024467" cy="338667"/>
          <a:chOff x="2057401" y="982133"/>
          <a:chExt cx="1024467" cy="338667"/>
        </a:xfrm>
      </xdr:grpSpPr>
      <xdr:sp macro="" textlink="Sheet1!C26">
        <xdr:nvSpPr>
          <xdr:cNvPr id="34" name="TextBox 33">
            <a:extLst>
              <a:ext uri="{FF2B5EF4-FFF2-40B4-BE49-F238E27FC236}">
                <a16:creationId xmlns:a16="http://schemas.microsoft.com/office/drawing/2014/main" id="{D2939F1F-0E33-4120-88FC-9B6C506C8D70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1211C3E6-3A3A-4BDF-B05B-283A3808546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Paid Traffic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6">
        <xdr:nvSpPr>
          <xdr:cNvPr id="35" name="TextBox 34">
            <a:extLst>
              <a:ext uri="{FF2B5EF4-FFF2-40B4-BE49-F238E27FC236}">
                <a16:creationId xmlns:a16="http://schemas.microsoft.com/office/drawing/2014/main" id="{C0F19512-5752-492E-A526-7BA4BA67AB58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AF3822E2-8F45-45A3-A0A9-137CD83DF818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7 280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19</xdr:row>
      <xdr:rowOff>107242</xdr:rowOff>
    </xdr:from>
    <xdr:to>
      <xdr:col>4</xdr:col>
      <xdr:colOff>524932</xdr:colOff>
      <xdr:row>21</xdr:row>
      <xdr:rowOff>73376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E512C15C-9CE7-406D-8095-31430CF029DE}"/>
            </a:ext>
          </a:extLst>
        </xdr:cNvPr>
        <xdr:cNvGrpSpPr/>
      </xdr:nvGrpSpPr>
      <xdr:grpSpPr>
        <a:xfrm>
          <a:off x="1938865" y="3646309"/>
          <a:ext cx="1024467" cy="338667"/>
          <a:chOff x="2057401" y="982133"/>
          <a:chExt cx="1024467" cy="338667"/>
        </a:xfrm>
      </xdr:grpSpPr>
      <xdr:sp macro="" textlink="Sheet1!C27">
        <xdr:nvSpPr>
          <xdr:cNvPr id="37" name="TextBox 36">
            <a:extLst>
              <a:ext uri="{FF2B5EF4-FFF2-40B4-BE49-F238E27FC236}">
                <a16:creationId xmlns:a16="http://schemas.microsoft.com/office/drawing/2014/main" id="{FBF86C71-EC7C-4CFE-B991-22771D2BA8F1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CEE23843-822A-4CB9-A810-568B837D8B9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Direct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7">
        <xdr:nvSpPr>
          <xdr:cNvPr id="38" name="TextBox 37">
            <a:extLst>
              <a:ext uri="{FF2B5EF4-FFF2-40B4-BE49-F238E27FC236}">
                <a16:creationId xmlns:a16="http://schemas.microsoft.com/office/drawing/2014/main" id="{05054A49-1483-4673-8345-16C22C4E010E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ECD9853-913F-4973-B0E2-CC02CEF99FAA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7 750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22</xdr:row>
      <xdr:rowOff>6583</xdr:rowOff>
    </xdr:from>
    <xdr:to>
      <xdr:col>4</xdr:col>
      <xdr:colOff>524932</xdr:colOff>
      <xdr:row>23</xdr:row>
      <xdr:rowOff>158984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E4E44C93-025C-47FC-B773-4353F6F2BD38}"/>
            </a:ext>
          </a:extLst>
        </xdr:cNvPr>
        <xdr:cNvGrpSpPr/>
      </xdr:nvGrpSpPr>
      <xdr:grpSpPr>
        <a:xfrm>
          <a:off x="1938865" y="4104450"/>
          <a:ext cx="1024467" cy="338667"/>
          <a:chOff x="2057401" y="982133"/>
          <a:chExt cx="1024467" cy="338667"/>
        </a:xfrm>
      </xdr:grpSpPr>
      <xdr:sp macro="" textlink="Sheet1!C28">
        <xdr:nvSpPr>
          <xdr:cNvPr id="40" name="TextBox 39">
            <a:extLst>
              <a:ext uri="{FF2B5EF4-FFF2-40B4-BE49-F238E27FC236}">
                <a16:creationId xmlns:a16="http://schemas.microsoft.com/office/drawing/2014/main" id="{5B788E41-15C2-46F7-8342-BBF6C6707D88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95A9C768-8B7C-496E-80EA-AE998DEB5256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Social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8">
        <xdr:nvSpPr>
          <xdr:cNvPr id="41" name="TextBox 40">
            <a:extLst>
              <a:ext uri="{FF2B5EF4-FFF2-40B4-BE49-F238E27FC236}">
                <a16:creationId xmlns:a16="http://schemas.microsoft.com/office/drawing/2014/main" id="{09018056-C89E-4928-B70D-B6409F982E5C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D7D2AB42-D141-4AA0-916A-1D63FFE52F93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2 540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24</xdr:row>
      <xdr:rowOff>92191</xdr:rowOff>
    </xdr:from>
    <xdr:to>
      <xdr:col>4</xdr:col>
      <xdr:colOff>524932</xdr:colOff>
      <xdr:row>26</xdr:row>
      <xdr:rowOff>58325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99E00C38-B7D5-45A6-99CB-95AA17D236F0}"/>
            </a:ext>
          </a:extLst>
        </xdr:cNvPr>
        <xdr:cNvGrpSpPr/>
      </xdr:nvGrpSpPr>
      <xdr:grpSpPr>
        <a:xfrm>
          <a:off x="1938865" y="4562591"/>
          <a:ext cx="1024467" cy="338667"/>
          <a:chOff x="2057401" y="982133"/>
          <a:chExt cx="1024467" cy="338667"/>
        </a:xfrm>
      </xdr:grpSpPr>
      <xdr:sp macro="" textlink="Sheet1!C29">
        <xdr:nvSpPr>
          <xdr:cNvPr id="43" name="TextBox 42">
            <a:extLst>
              <a:ext uri="{FF2B5EF4-FFF2-40B4-BE49-F238E27FC236}">
                <a16:creationId xmlns:a16="http://schemas.microsoft.com/office/drawing/2014/main" id="{A44CD779-66BA-425E-9968-E2469A406078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E20ED74-2368-4D5F-A802-C7EAEFE5DAC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Referral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9">
        <xdr:nvSpPr>
          <xdr:cNvPr id="44" name="TextBox 43">
            <a:extLst>
              <a:ext uri="{FF2B5EF4-FFF2-40B4-BE49-F238E27FC236}">
                <a16:creationId xmlns:a16="http://schemas.microsoft.com/office/drawing/2014/main" id="{A6814BB8-9F52-4E45-B54B-0D7146F8F1B1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64169426-2861-4E52-AE1E-A2867C8C861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16 930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26</xdr:row>
      <xdr:rowOff>177801</xdr:rowOff>
    </xdr:from>
    <xdr:to>
      <xdr:col>4</xdr:col>
      <xdr:colOff>524932</xdr:colOff>
      <xdr:row>28</xdr:row>
      <xdr:rowOff>143934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CE0A6871-7CE9-412A-9F2C-03F708C6893D}"/>
            </a:ext>
          </a:extLst>
        </xdr:cNvPr>
        <xdr:cNvGrpSpPr/>
      </xdr:nvGrpSpPr>
      <xdr:grpSpPr>
        <a:xfrm>
          <a:off x="1938865" y="5020734"/>
          <a:ext cx="1024467" cy="338667"/>
          <a:chOff x="2057401" y="982133"/>
          <a:chExt cx="1024467" cy="338667"/>
        </a:xfrm>
      </xdr:grpSpPr>
      <xdr:sp macro="" textlink="Sheet1!C30">
        <xdr:nvSpPr>
          <xdr:cNvPr id="46" name="TextBox 45">
            <a:extLst>
              <a:ext uri="{FF2B5EF4-FFF2-40B4-BE49-F238E27FC236}">
                <a16:creationId xmlns:a16="http://schemas.microsoft.com/office/drawing/2014/main" id="{B9665935-6869-4FFC-A4E8-F1555909C691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98944F5-3273-43A3-A780-8A6B80228414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Top Location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30">
        <xdr:nvSpPr>
          <xdr:cNvPr id="47" name="TextBox 46">
            <a:extLst>
              <a:ext uri="{FF2B5EF4-FFF2-40B4-BE49-F238E27FC236}">
                <a16:creationId xmlns:a16="http://schemas.microsoft.com/office/drawing/2014/main" id="{FE14F482-E29B-487C-8A51-844E70C58DE4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46B869EF-1FDB-4E88-BF2E-7D10528AE82C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Japan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9</xdr:row>
      <xdr:rowOff>137345</xdr:rowOff>
    </xdr:from>
    <xdr:to>
      <xdr:col>4</xdr:col>
      <xdr:colOff>524932</xdr:colOff>
      <xdr:row>11</xdr:row>
      <xdr:rowOff>103479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EE86281F-B8C2-4BD7-9E7D-AE915000BD74}"/>
            </a:ext>
          </a:extLst>
        </xdr:cNvPr>
        <xdr:cNvGrpSpPr/>
      </xdr:nvGrpSpPr>
      <xdr:grpSpPr>
        <a:xfrm>
          <a:off x="1938865" y="1813745"/>
          <a:ext cx="1024467" cy="338667"/>
          <a:chOff x="2057401" y="982133"/>
          <a:chExt cx="1024467" cy="338667"/>
        </a:xfrm>
      </xdr:grpSpPr>
      <xdr:sp macro="" textlink="Sheet1!C23">
        <xdr:nvSpPr>
          <xdr:cNvPr id="49" name="TextBox 48">
            <a:extLst>
              <a:ext uri="{FF2B5EF4-FFF2-40B4-BE49-F238E27FC236}">
                <a16:creationId xmlns:a16="http://schemas.microsoft.com/office/drawing/2014/main" id="{E72B9EC1-225E-4ABF-84FF-610876533A29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64F3898-E2B5-45B5-9AC1-3DE54A3C1A8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Bounce Rate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3">
        <xdr:nvSpPr>
          <xdr:cNvPr id="50" name="TextBox 49">
            <a:extLst>
              <a:ext uri="{FF2B5EF4-FFF2-40B4-BE49-F238E27FC236}">
                <a16:creationId xmlns:a16="http://schemas.microsoft.com/office/drawing/2014/main" id="{71E83EBD-A2D7-40F7-8F93-51DF817F60BF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8FD1269B-3FF7-4124-B443-2187D69E253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45%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5</xdr:col>
      <xdr:colOff>3396</xdr:colOff>
      <xdr:row>4</xdr:row>
      <xdr:rowOff>84664</xdr:rowOff>
    </xdr:from>
    <xdr:to>
      <xdr:col>9</xdr:col>
      <xdr:colOff>264996</xdr:colOff>
      <xdr:row>14</xdr:row>
      <xdr:rowOff>93998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5EF0DE2F-1EC2-42A0-A61D-A94BE4DB83CD}"/>
            </a:ext>
          </a:extLst>
        </xdr:cNvPr>
        <xdr:cNvSpPr/>
      </xdr:nvSpPr>
      <xdr:spPr>
        <a:xfrm>
          <a:off x="3051396" y="816184"/>
          <a:ext cx="2700000" cy="183813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9</xdr:col>
      <xdr:colOff>429266</xdr:colOff>
      <xdr:row>4</xdr:row>
      <xdr:rowOff>84664</xdr:rowOff>
    </xdr:from>
    <xdr:to>
      <xdr:col>14</xdr:col>
      <xdr:colOff>81266</xdr:colOff>
      <xdr:row>14</xdr:row>
      <xdr:rowOff>93998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BEC62BC-41BB-434D-BFA8-6FA4DD9BF649}"/>
            </a:ext>
          </a:extLst>
        </xdr:cNvPr>
        <xdr:cNvSpPr/>
      </xdr:nvSpPr>
      <xdr:spPr>
        <a:xfrm>
          <a:off x="5915666" y="816184"/>
          <a:ext cx="2700000" cy="183813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14</xdr:col>
      <xdr:colOff>245535</xdr:colOff>
      <xdr:row>4</xdr:row>
      <xdr:rowOff>84664</xdr:rowOff>
    </xdr:from>
    <xdr:to>
      <xdr:col>18</xdr:col>
      <xdr:colOff>507135</xdr:colOff>
      <xdr:row>25</xdr:row>
      <xdr:rowOff>97064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F28D4CFD-6D7E-4375-909C-1D4A563A028B}"/>
            </a:ext>
          </a:extLst>
        </xdr:cNvPr>
        <xdr:cNvSpPr/>
      </xdr:nvSpPr>
      <xdr:spPr>
        <a:xfrm>
          <a:off x="8779935" y="816184"/>
          <a:ext cx="2700000" cy="385288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3396</xdr:colOff>
      <xdr:row>15</xdr:row>
      <xdr:rowOff>87731</xdr:rowOff>
    </xdr:from>
    <xdr:to>
      <xdr:col>9</xdr:col>
      <xdr:colOff>264996</xdr:colOff>
      <xdr:row>25</xdr:row>
      <xdr:rowOff>97064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78B29921-25B5-4EC1-8AE8-D49974B06670}"/>
            </a:ext>
          </a:extLst>
        </xdr:cNvPr>
        <xdr:cNvSpPr/>
      </xdr:nvSpPr>
      <xdr:spPr>
        <a:xfrm>
          <a:off x="3051396" y="2830931"/>
          <a:ext cx="2700000" cy="183813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9</xdr:col>
      <xdr:colOff>429266</xdr:colOff>
      <xdr:row>15</xdr:row>
      <xdr:rowOff>87731</xdr:rowOff>
    </xdr:from>
    <xdr:to>
      <xdr:col>14</xdr:col>
      <xdr:colOff>81266</xdr:colOff>
      <xdr:row>25</xdr:row>
      <xdr:rowOff>97064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FD9B8E3C-9BF0-45C5-B437-6643A76D156B}"/>
            </a:ext>
          </a:extLst>
        </xdr:cNvPr>
        <xdr:cNvSpPr/>
      </xdr:nvSpPr>
      <xdr:spPr>
        <a:xfrm>
          <a:off x="5915666" y="2830931"/>
          <a:ext cx="2700000" cy="183813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33867</xdr:colOff>
      <xdr:row>4</xdr:row>
      <xdr:rowOff>110066</xdr:rowOff>
    </xdr:from>
    <xdr:to>
      <xdr:col>9</xdr:col>
      <xdr:colOff>245533</xdr:colOff>
      <xdr:row>14</xdr:row>
      <xdr:rowOff>8467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601E26B5-62E4-451A-AB13-AE2AF6DEC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452130</xdr:colOff>
      <xdr:row>4</xdr:row>
      <xdr:rowOff>101600</xdr:rowOff>
    </xdr:from>
    <xdr:to>
      <xdr:col>14</xdr:col>
      <xdr:colOff>8468</xdr:colOff>
      <xdr:row>14</xdr:row>
      <xdr:rowOff>67734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3FB73A43-C401-44BC-9E39-0B4C9BAFD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429266</xdr:colOff>
      <xdr:row>4</xdr:row>
      <xdr:rowOff>84664</xdr:rowOff>
    </xdr:from>
    <xdr:to>
      <xdr:col>12</xdr:col>
      <xdr:colOff>90599</xdr:colOff>
      <xdr:row>5</xdr:row>
      <xdr:rowOff>135465</xdr:rowOff>
    </xdr:to>
    <xdr:sp macro="" textlink="">
      <xdr:nvSpPr>
        <xdr:cNvPr id="58" name="TextBox 1">
          <a:extLst>
            <a:ext uri="{FF2B5EF4-FFF2-40B4-BE49-F238E27FC236}">
              <a16:creationId xmlns:a16="http://schemas.microsoft.com/office/drawing/2014/main" id="{7497672D-269E-4676-B28D-F64F8A07C8CE}"/>
            </a:ext>
          </a:extLst>
        </xdr:cNvPr>
        <xdr:cNvSpPr txBox="1"/>
      </xdr:nvSpPr>
      <xdr:spPr>
        <a:xfrm>
          <a:off x="5915666" y="816184"/>
          <a:ext cx="1490133" cy="233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Bounce &amp; Exit Rate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5</xdr:col>
      <xdr:colOff>33866</xdr:colOff>
      <xdr:row>15</xdr:row>
      <xdr:rowOff>110066</xdr:rowOff>
    </xdr:from>
    <xdr:to>
      <xdr:col>9</xdr:col>
      <xdr:colOff>211667</xdr:colOff>
      <xdr:row>25</xdr:row>
      <xdr:rowOff>25399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A1097871-47D1-49BC-BC15-F750D3412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3397</xdr:colOff>
      <xdr:row>15</xdr:row>
      <xdr:rowOff>87731</xdr:rowOff>
    </xdr:from>
    <xdr:to>
      <xdr:col>7</xdr:col>
      <xdr:colOff>274330</xdr:colOff>
      <xdr:row>16</xdr:row>
      <xdr:rowOff>138531</xdr:rowOff>
    </xdr:to>
    <xdr:sp macro="" textlink="">
      <xdr:nvSpPr>
        <xdr:cNvPr id="60" name="TextBox 1">
          <a:extLst>
            <a:ext uri="{FF2B5EF4-FFF2-40B4-BE49-F238E27FC236}">
              <a16:creationId xmlns:a16="http://schemas.microsoft.com/office/drawing/2014/main" id="{E7B58A70-F009-4202-A4DB-FA657A251724}"/>
            </a:ext>
          </a:extLst>
        </xdr:cNvPr>
        <xdr:cNvSpPr txBox="1"/>
      </xdr:nvSpPr>
      <xdr:spPr>
        <a:xfrm>
          <a:off x="3051397" y="2830931"/>
          <a:ext cx="1490133" cy="233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Organic vs. Paid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9</xdr:col>
      <xdr:colOff>482600</xdr:colOff>
      <xdr:row>15</xdr:row>
      <xdr:rowOff>155464</xdr:rowOff>
    </xdr:from>
    <xdr:to>
      <xdr:col>14</xdr:col>
      <xdr:colOff>16934</xdr:colOff>
      <xdr:row>25</xdr:row>
      <xdr:rowOff>16933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E2E40E40-CA1B-4390-AE47-68AF6796E4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429266</xdr:colOff>
      <xdr:row>15</xdr:row>
      <xdr:rowOff>87731</xdr:rowOff>
    </xdr:from>
    <xdr:to>
      <xdr:col>13</xdr:col>
      <xdr:colOff>313267</xdr:colOff>
      <xdr:row>16</xdr:row>
      <xdr:rowOff>160866</xdr:rowOff>
    </xdr:to>
    <xdr:sp macro="" textlink="">
      <xdr:nvSpPr>
        <xdr:cNvPr id="62" name="TextBox 1">
          <a:extLst>
            <a:ext uri="{FF2B5EF4-FFF2-40B4-BE49-F238E27FC236}">
              <a16:creationId xmlns:a16="http://schemas.microsoft.com/office/drawing/2014/main" id="{D6D95635-F0BE-4D7C-8E01-A31B19AF517A}"/>
            </a:ext>
          </a:extLst>
        </xdr:cNvPr>
        <xdr:cNvSpPr txBox="1"/>
      </xdr:nvSpPr>
      <xdr:spPr>
        <a:xfrm>
          <a:off x="5915666" y="2830931"/>
          <a:ext cx="2322401" cy="256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Direct vs. Social</a:t>
          </a:r>
          <a:r>
            <a:rPr lang="en-US" sz="900" b="1" i="0" u="none" strike="noStrike" baseline="0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 vs. Referral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14</xdr:col>
      <xdr:colOff>287868</xdr:colOff>
      <xdr:row>6</xdr:row>
      <xdr:rowOff>59265</xdr:rowOff>
    </xdr:from>
    <xdr:to>
      <xdr:col>18</xdr:col>
      <xdr:colOff>465666</xdr:colOff>
      <xdr:row>21</xdr:row>
      <xdr:rowOff>135467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51ACFF8A-01CC-4A27-BA07-D959EE70F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14</xdr:col>
      <xdr:colOff>245535</xdr:colOff>
      <xdr:row>4</xdr:row>
      <xdr:rowOff>84664</xdr:rowOff>
    </xdr:from>
    <xdr:to>
      <xdr:col>16</xdr:col>
      <xdr:colOff>516468</xdr:colOff>
      <xdr:row>5</xdr:row>
      <xdr:rowOff>135465</xdr:rowOff>
    </xdr:to>
    <xdr:sp macro="" textlink="">
      <xdr:nvSpPr>
        <xdr:cNvPr id="64" name="TextBox 1">
          <a:extLst>
            <a:ext uri="{FF2B5EF4-FFF2-40B4-BE49-F238E27FC236}">
              <a16:creationId xmlns:a16="http://schemas.microsoft.com/office/drawing/2014/main" id="{E1EA3A65-FB66-4AA6-81E7-2E6D573A0790}"/>
            </a:ext>
          </a:extLst>
        </xdr:cNvPr>
        <xdr:cNvSpPr txBox="1"/>
      </xdr:nvSpPr>
      <xdr:spPr>
        <a:xfrm>
          <a:off x="8779935" y="816184"/>
          <a:ext cx="1490133" cy="233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Geographic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5</xdr:col>
      <xdr:colOff>3396</xdr:colOff>
      <xdr:row>26</xdr:row>
      <xdr:rowOff>44400</xdr:rowOff>
    </xdr:from>
    <xdr:to>
      <xdr:col>9</xdr:col>
      <xdr:colOff>264996</xdr:colOff>
      <xdr:row>29</xdr:row>
      <xdr:rowOff>50800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5F210939-AC98-40FB-818D-39715B3B4E10}"/>
            </a:ext>
          </a:extLst>
        </xdr:cNvPr>
        <xdr:cNvSpPr/>
      </xdr:nvSpPr>
      <xdr:spPr>
        <a:xfrm>
          <a:off x="3051396" y="4799280"/>
          <a:ext cx="2700000" cy="5550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406400</xdr:colOff>
      <xdr:row>26</xdr:row>
      <xdr:rowOff>25400</xdr:rowOff>
    </xdr:from>
    <xdr:to>
      <xdr:col>9</xdr:col>
      <xdr:colOff>264996</xdr:colOff>
      <xdr:row>29</xdr:row>
      <xdr:rowOff>30598</xdr:rowOff>
    </xdr:to>
    <xdr:sp macro="" textlink="Sheet1!C34">
      <xdr:nvSpPr>
        <xdr:cNvPr id="66" name="Rectangle 65">
          <a:extLst>
            <a:ext uri="{FF2B5EF4-FFF2-40B4-BE49-F238E27FC236}">
              <a16:creationId xmlns:a16="http://schemas.microsoft.com/office/drawing/2014/main" id="{3751E746-40FF-458A-90FF-F327EAD67686}"/>
            </a:ext>
          </a:extLst>
        </xdr:cNvPr>
        <xdr:cNvSpPr/>
      </xdr:nvSpPr>
      <xdr:spPr>
        <a:xfrm>
          <a:off x="3454400" y="4780280"/>
          <a:ext cx="2296996" cy="55383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>
    <xdr:from>
      <xdr:col>9</xdr:col>
      <xdr:colOff>429266</xdr:colOff>
      <xdr:row>26</xdr:row>
      <xdr:rowOff>44400</xdr:rowOff>
    </xdr:from>
    <xdr:to>
      <xdr:col>14</xdr:col>
      <xdr:colOff>81266</xdr:colOff>
      <xdr:row>29</xdr:row>
      <xdr:rowOff>50800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27F1D34E-13A4-46DE-AD81-AA411630708E}"/>
            </a:ext>
          </a:extLst>
        </xdr:cNvPr>
        <xdr:cNvSpPr/>
      </xdr:nvSpPr>
      <xdr:spPr>
        <a:xfrm>
          <a:off x="5915666" y="4799280"/>
          <a:ext cx="2700000" cy="5550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10</xdr:col>
      <xdr:colOff>237066</xdr:colOff>
      <xdr:row>26</xdr:row>
      <xdr:rowOff>42333</xdr:rowOff>
    </xdr:from>
    <xdr:to>
      <xdr:col>14</xdr:col>
      <xdr:colOff>95662</xdr:colOff>
      <xdr:row>29</xdr:row>
      <xdr:rowOff>47531</xdr:rowOff>
    </xdr:to>
    <xdr:sp macro="" textlink="Sheet1!C34">
      <xdr:nvSpPr>
        <xdr:cNvPr id="68" name="Rectangle 67">
          <a:extLst>
            <a:ext uri="{FF2B5EF4-FFF2-40B4-BE49-F238E27FC236}">
              <a16:creationId xmlns:a16="http://schemas.microsoft.com/office/drawing/2014/main" id="{F10AC812-5BE4-446A-9EA0-AB393E746DE1}"/>
            </a:ext>
          </a:extLst>
        </xdr:cNvPr>
        <xdr:cNvSpPr/>
      </xdr:nvSpPr>
      <xdr:spPr>
        <a:xfrm>
          <a:off x="6333066" y="4797213"/>
          <a:ext cx="2296996" cy="55383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>
    <xdr:from>
      <xdr:col>14</xdr:col>
      <xdr:colOff>245535</xdr:colOff>
      <xdr:row>26</xdr:row>
      <xdr:rowOff>44400</xdr:rowOff>
    </xdr:from>
    <xdr:to>
      <xdr:col>18</xdr:col>
      <xdr:colOff>507135</xdr:colOff>
      <xdr:row>29</xdr:row>
      <xdr:rowOff>50800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2D6A1D2-9F40-476B-8842-FE465704AAA4}"/>
            </a:ext>
          </a:extLst>
        </xdr:cNvPr>
        <xdr:cNvSpPr/>
      </xdr:nvSpPr>
      <xdr:spPr>
        <a:xfrm>
          <a:off x="8779935" y="4799280"/>
          <a:ext cx="2700000" cy="5550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15</xdr:col>
      <xdr:colOff>42332</xdr:colOff>
      <xdr:row>26</xdr:row>
      <xdr:rowOff>42333</xdr:rowOff>
    </xdr:from>
    <xdr:to>
      <xdr:col>18</xdr:col>
      <xdr:colOff>510528</xdr:colOff>
      <xdr:row>29</xdr:row>
      <xdr:rowOff>47531</xdr:rowOff>
    </xdr:to>
    <xdr:sp macro="" textlink="Sheet1!C34">
      <xdr:nvSpPr>
        <xdr:cNvPr id="70" name="Rectangle 69">
          <a:extLst>
            <a:ext uri="{FF2B5EF4-FFF2-40B4-BE49-F238E27FC236}">
              <a16:creationId xmlns:a16="http://schemas.microsoft.com/office/drawing/2014/main" id="{A9FF6583-91B5-4C31-B209-99DE45F89FD3}"/>
            </a:ext>
          </a:extLst>
        </xdr:cNvPr>
        <xdr:cNvSpPr/>
      </xdr:nvSpPr>
      <xdr:spPr>
        <a:xfrm>
          <a:off x="9186332" y="4797213"/>
          <a:ext cx="2296996" cy="55383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 editAs="oneCell">
    <xdr:from>
      <xdr:col>14</xdr:col>
      <xdr:colOff>296334</xdr:colOff>
      <xdr:row>26</xdr:row>
      <xdr:rowOff>85300</xdr:rowOff>
    </xdr:from>
    <xdr:to>
      <xdr:col>15</xdr:col>
      <xdr:colOff>118734</xdr:colOff>
      <xdr:row>28</xdr:row>
      <xdr:rowOff>144766</xdr:rowOff>
    </xdr:to>
    <xdr:pic>
      <xdr:nvPicPr>
        <xdr:cNvPr id="71" name="Graphic 70" descr="Magnifying glass with solid fill">
          <a:extLst>
            <a:ext uri="{FF2B5EF4-FFF2-40B4-BE49-F238E27FC236}">
              <a16:creationId xmlns:a16="http://schemas.microsoft.com/office/drawing/2014/main" id="{DD78B319-9ABE-48CA-A6BE-DCB5356DA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8830734" y="4840180"/>
          <a:ext cx="432000" cy="425226"/>
        </a:xfrm>
        <a:prstGeom prst="rect">
          <a:avLst/>
        </a:prstGeom>
      </xdr:spPr>
    </xdr:pic>
    <xdr:clientData/>
  </xdr:twoCellAnchor>
  <xdr:twoCellAnchor editAs="oneCell">
    <xdr:from>
      <xdr:col>9</xdr:col>
      <xdr:colOff>463266</xdr:colOff>
      <xdr:row>26</xdr:row>
      <xdr:rowOff>85300</xdr:rowOff>
    </xdr:from>
    <xdr:to>
      <xdr:col>10</xdr:col>
      <xdr:colOff>285666</xdr:colOff>
      <xdr:row>28</xdr:row>
      <xdr:rowOff>144766</xdr:rowOff>
    </xdr:to>
    <xdr:pic>
      <xdr:nvPicPr>
        <xdr:cNvPr id="72" name="Graphic 71" descr="Stopwatch with solid fill">
          <a:extLst>
            <a:ext uri="{FF2B5EF4-FFF2-40B4-BE49-F238E27FC236}">
              <a16:creationId xmlns:a16="http://schemas.microsoft.com/office/drawing/2014/main" id="{EBA0A55F-516C-4DE8-A087-1909F8F6E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949666" y="4840180"/>
          <a:ext cx="432000" cy="425226"/>
        </a:xfrm>
        <a:prstGeom prst="rect">
          <a:avLst/>
        </a:prstGeom>
      </xdr:spPr>
    </xdr:pic>
    <xdr:clientData/>
  </xdr:twoCellAnchor>
  <xdr:twoCellAnchor editAs="oneCell">
    <xdr:from>
      <xdr:col>5</xdr:col>
      <xdr:colOff>37533</xdr:colOff>
      <xdr:row>26</xdr:row>
      <xdr:rowOff>85300</xdr:rowOff>
    </xdr:from>
    <xdr:to>
      <xdr:col>5</xdr:col>
      <xdr:colOff>469533</xdr:colOff>
      <xdr:row>28</xdr:row>
      <xdr:rowOff>144766</xdr:rowOff>
    </xdr:to>
    <xdr:pic>
      <xdr:nvPicPr>
        <xdr:cNvPr id="73" name="Graphic 72" descr="Target with solid fill">
          <a:extLst>
            <a:ext uri="{FF2B5EF4-FFF2-40B4-BE49-F238E27FC236}">
              <a16:creationId xmlns:a16="http://schemas.microsoft.com/office/drawing/2014/main" id="{30A88BBE-606A-4464-B798-EABD2BE28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085533" y="4840180"/>
          <a:ext cx="432000" cy="425226"/>
        </a:xfrm>
        <a:prstGeom prst="rect">
          <a:avLst/>
        </a:prstGeom>
      </xdr:spPr>
    </xdr:pic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0.5623</cdr:x>
      <cdr:y>0.13462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2E76224-4259-4765-84E6-3257CF3C8504}"/>
            </a:ext>
          </a:extLst>
        </cdr:cNvPr>
        <cdr:cNvSpPr txBox="1"/>
      </cdr:nvSpPr>
      <cdr:spPr>
        <a:xfrm xmlns:a="http://schemas.openxmlformats.org/drawingml/2006/main">
          <a:off x="0" y="0"/>
          <a:ext cx="1490133" cy="2370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Visits &amp; Page Views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0.40129</cdr:x>
      <cdr:y>0.31858</cdr:y>
    </cdr:from>
    <cdr:to>
      <cdr:x>0.6343</cdr:x>
      <cdr:y>0.47788</cdr:y>
    </cdr:to>
    <cdr:sp macro="" textlink="Sheet1!$K$2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E1C86C3-B2A4-4F9D-8360-D346246A2FDB}"/>
            </a:ext>
          </a:extLst>
        </cdr:cNvPr>
        <cdr:cNvSpPr txBox="1"/>
      </cdr:nvSpPr>
      <cdr:spPr>
        <a:xfrm xmlns:a="http://schemas.openxmlformats.org/drawingml/2006/main">
          <a:off x="1049866" y="914402"/>
          <a:ext cx="609599" cy="4571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none" rtlCol="0" anchor="t"/>
        <a:lstStyle xmlns:a="http://schemas.openxmlformats.org/drawingml/2006/main"/>
        <a:p xmlns:a="http://schemas.openxmlformats.org/drawingml/2006/main">
          <a:pPr algn="l"/>
          <a:fld id="{BC0EC81A-FA5F-4201-8621-48F2F5E1632F}" type="TxLink">
            <a:rPr lang="en-US" sz="900" b="1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Japan
34000</a:t>
          </a:fld>
          <a:endParaRPr lang="uk-UA" sz="1000" b="1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292799</xdr:colOff>
      <xdr:row>1</xdr:row>
      <xdr:rowOff>145095</xdr:rowOff>
    </xdr:from>
    <xdr:to>
      <xdr:col>7</xdr:col>
      <xdr:colOff>433911</xdr:colOff>
      <xdr:row>37</xdr:row>
      <xdr:rowOff>47316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C35BCA1E-E88D-4C81-B4CD-FA2726D031E6}"/>
            </a:ext>
          </a:extLst>
        </xdr:cNvPr>
        <xdr:cNvSpPr/>
      </xdr:nvSpPr>
      <xdr:spPr>
        <a:xfrm rot="5721033">
          <a:off x="-745996" y="1366770"/>
          <a:ext cx="6485901" cy="4408312"/>
        </a:xfrm>
        <a:custGeom>
          <a:avLst/>
          <a:gdLst>
            <a:gd name="connsiteX0" fmla="*/ 6438714 w 6485901"/>
            <a:gd name="connsiteY0" fmla="*/ 900976 h 4850272"/>
            <a:gd name="connsiteX1" fmla="*/ 98874 w 6485901"/>
            <a:gd name="connsiteY1" fmla="*/ 306616 h 4850272"/>
            <a:gd name="connsiteX2" fmla="*/ 2842074 w 6485901"/>
            <a:gd name="connsiteY2" fmla="*/ 4848136 h 4850272"/>
            <a:gd name="connsiteX3" fmla="*/ 6438714 w 6485901"/>
            <a:gd name="connsiteY3" fmla="*/ 900976 h 48502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485901" h="4850272">
              <a:moveTo>
                <a:pt x="6438714" y="900976"/>
              </a:moveTo>
              <a:cubicBezTo>
                <a:pt x="5981514" y="144056"/>
                <a:pt x="698314" y="-351244"/>
                <a:pt x="98874" y="306616"/>
              </a:cubicBezTo>
              <a:cubicBezTo>
                <a:pt x="-500566" y="964476"/>
                <a:pt x="1777814" y="4750346"/>
                <a:pt x="2842074" y="4848136"/>
              </a:cubicBezTo>
              <a:cubicBezTo>
                <a:pt x="3906334" y="4945926"/>
                <a:pt x="6895914" y="1657896"/>
                <a:pt x="6438714" y="900976"/>
              </a:cubicBezTo>
              <a:close/>
            </a:path>
          </a:pathLst>
        </a:custGeom>
        <a:solidFill>
          <a:srgbClr val="5A7D7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7</xdr:col>
      <xdr:colOff>260256</xdr:colOff>
      <xdr:row>4</xdr:row>
      <xdr:rowOff>94913</xdr:rowOff>
    </xdr:from>
    <xdr:to>
      <xdr:col>27</xdr:col>
      <xdr:colOff>605135</xdr:colOff>
      <xdr:row>39</xdr:row>
      <xdr:rowOff>176882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D4F2A17D-C397-4B35-B264-C282041166BE}"/>
            </a:ext>
          </a:extLst>
        </xdr:cNvPr>
        <xdr:cNvSpPr/>
      </xdr:nvSpPr>
      <xdr:spPr>
        <a:xfrm rot="293933">
          <a:off x="4527456" y="826433"/>
          <a:ext cx="12536879" cy="6482769"/>
        </a:xfrm>
        <a:custGeom>
          <a:avLst/>
          <a:gdLst>
            <a:gd name="connsiteX0" fmla="*/ 6438714 w 6485901"/>
            <a:gd name="connsiteY0" fmla="*/ 900976 h 4850272"/>
            <a:gd name="connsiteX1" fmla="*/ 98874 w 6485901"/>
            <a:gd name="connsiteY1" fmla="*/ 306616 h 4850272"/>
            <a:gd name="connsiteX2" fmla="*/ 2842074 w 6485901"/>
            <a:gd name="connsiteY2" fmla="*/ 4848136 h 4850272"/>
            <a:gd name="connsiteX3" fmla="*/ 6438714 w 6485901"/>
            <a:gd name="connsiteY3" fmla="*/ 900976 h 48502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485901" h="4850272">
              <a:moveTo>
                <a:pt x="6438714" y="900976"/>
              </a:moveTo>
              <a:cubicBezTo>
                <a:pt x="5981514" y="144056"/>
                <a:pt x="698314" y="-351244"/>
                <a:pt x="98874" y="306616"/>
              </a:cubicBezTo>
              <a:cubicBezTo>
                <a:pt x="-500566" y="964476"/>
                <a:pt x="1777814" y="4750346"/>
                <a:pt x="2842074" y="4848136"/>
              </a:cubicBezTo>
              <a:cubicBezTo>
                <a:pt x="3906334" y="4945926"/>
                <a:pt x="6895914" y="1657896"/>
                <a:pt x="6438714" y="900976"/>
              </a:cubicBezTo>
              <a:close/>
            </a:path>
          </a:pathLst>
        </a:custGeom>
        <a:solidFill>
          <a:srgbClr val="B5B2C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419100</xdr:colOff>
      <xdr:row>0</xdr:row>
      <xdr:rowOff>183727</xdr:rowOff>
    </xdr:from>
    <xdr:to>
      <xdr:col>19</xdr:col>
      <xdr:colOff>0</xdr:colOff>
      <xdr:row>29</xdr:row>
      <xdr:rowOff>135467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C877D6C-720A-402D-879A-9ECBDA7F0565}"/>
            </a:ext>
          </a:extLst>
        </xdr:cNvPr>
        <xdr:cNvSpPr/>
      </xdr:nvSpPr>
      <xdr:spPr>
        <a:xfrm>
          <a:off x="1028700" y="183727"/>
          <a:ext cx="10553700" cy="52552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441960</xdr:colOff>
      <xdr:row>3</xdr:row>
      <xdr:rowOff>167640</xdr:rowOff>
    </xdr:from>
    <xdr:to>
      <xdr:col>19</xdr:col>
      <xdr:colOff>0</xdr:colOff>
      <xdr:row>29</xdr:row>
      <xdr:rowOff>135467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52E1728-67D0-4728-9AF0-DC0A94A2E4CF}"/>
            </a:ext>
          </a:extLst>
        </xdr:cNvPr>
        <xdr:cNvSpPr/>
      </xdr:nvSpPr>
      <xdr:spPr>
        <a:xfrm>
          <a:off x="1661160" y="716280"/>
          <a:ext cx="9921240" cy="472270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474133</xdr:colOff>
      <xdr:row>22</xdr:row>
      <xdr:rowOff>143942</xdr:rowOff>
    </xdr:from>
    <xdr:to>
      <xdr:col>2</xdr:col>
      <xdr:colOff>412300</xdr:colOff>
      <xdr:row>25</xdr:row>
      <xdr:rowOff>101608</xdr:rowOff>
    </xdr:to>
    <xdr:sp macro="" textlink="">
      <xdr:nvSpPr>
        <xdr:cNvPr id="6" name="Pentagon 5">
          <a:extLst>
            <a:ext uri="{FF2B5EF4-FFF2-40B4-BE49-F238E27FC236}">
              <a16:creationId xmlns:a16="http://schemas.microsoft.com/office/drawing/2014/main" id="{36FBC088-552C-487D-8A4C-0F79B27815CF}"/>
            </a:ext>
          </a:extLst>
        </xdr:cNvPr>
        <xdr:cNvSpPr>
          <a:spLocks noChangeAspect="1"/>
        </xdr:cNvSpPr>
      </xdr:nvSpPr>
      <xdr:spPr>
        <a:xfrm>
          <a:off x="1083733" y="4241809"/>
          <a:ext cx="547767" cy="516466"/>
        </a:xfrm>
        <a:prstGeom prst="pentagon">
          <a:avLst/>
        </a:prstGeom>
        <a:solidFill>
          <a:srgbClr val="DADF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</xdr:col>
      <xdr:colOff>528600</xdr:colOff>
      <xdr:row>9</xdr:row>
      <xdr:rowOff>168200</xdr:rowOff>
    </xdr:from>
    <xdr:to>
      <xdr:col>2</xdr:col>
      <xdr:colOff>351000</xdr:colOff>
      <xdr:row>25</xdr:row>
      <xdr:rowOff>82466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7C849E10-D0D7-4E5E-8D6F-CA500F562D8A}"/>
            </a:ext>
          </a:extLst>
        </xdr:cNvPr>
        <xdr:cNvGrpSpPr/>
      </xdr:nvGrpSpPr>
      <xdr:grpSpPr>
        <a:xfrm>
          <a:off x="1138200" y="1844600"/>
          <a:ext cx="432000" cy="2894533"/>
          <a:chOff x="2391267" y="1268866"/>
          <a:chExt cx="432000" cy="2894533"/>
        </a:xfrm>
      </xdr:grpSpPr>
      <xdr:pic>
        <xdr:nvPicPr>
          <xdr:cNvPr id="8" name="Graphic 7" descr="Cow with solid fill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5152608A-6FEB-4E87-85C3-492C2DF19E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391267" y="2500132"/>
            <a:ext cx="432000" cy="432000"/>
          </a:xfrm>
          <a:prstGeom prst="rect">
            <a:avLst/>
          </a:prstGeom>
        </xdr:spPr>
      </xdr:pic>
      <xdr:pic>
        <xdr:nvPicPr>
          <xdr:cNvPr id="9" name="Graphic 8" descr="Fish with solid fill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7F35B79-EA40-410D-8275-799A0AC3DD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391267" y="3731399"/>
            <a:ext cx="432000" cy="432000"/>
          </a:xfrm>
          <a:prstGeom prst="rect">
            <a:avLst/>
          </a:prstGeom>
        </xdr:spPr>
      </xdr:pic>
      <xdr:pic>
        <xdr:nvPicPr>
          <xdr:cNvPr id="10" name="Graphic 9" descr="Peacock with solid fill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125E9A13-28C5-492E-9E72-F1F1919081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2391267" y="3115765"/>
            <a:ext cx="432000" cy="432000"/>
          </a:xfrm>
          <a:prstGeom prst="rect">
            <a:avLst/>
          </a:prstGeom>
        </xdr:spPr>
      </xdr:pic>
      <xdr:pic>
        <xdr:nvPicPr>
          <xdr:cNvPr id="11" name="Graphic 10" descr="Pig with solid fill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CA48EFDC-63F5-4E51-963D-52C7A38A08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2391267" y="1884499"/>
            <a:ext cx="432000" cy="432000"/>
          </a:xfrm>
          <a:prstGeom prst="rect">
            <a:avLst/>
          </a:prstGeom>
        </xdr:spPr>
      </xdr:pic>
      <xdr:pic>
        <xdr:nvPicPr>
          <xdr:cNvPr id="12" name="Graphic 11" descr="Open hand with plant with solid fill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6BF3BD5D-4365-4AB2-B329-E37F4FAD8B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2391267" y="1268866"/>
            <a:ext cx="432000" cy="4320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270933</xdr:colOff>
      <xdr:row>1</xdr:row>
      <xdr:rowOff>97369</xdr:rowOff>
    </xdr:from>
    <xdr:to>
      <xdr:col>16</xdr:col>
      <xdr:colOff>254000</xdr:colOff>
      <xdr:row>3</xdr:row>
      <xdr:rowOff>38102</xdr:rowOff>
    </xdr:to>
    <xdr:sp macro="" textlink="Sheet1!B2">
      <xdr:nvSpPr>
        <xdr:cNvPr id="13" name="Rectangle: Rounded Corners 12">
          <a:extLst>
            <a:ext uri="{FF2B5EF4-FFF2-40B4-BE49-F238E27FC236}">
              <a16:creationId xmlns:a16="http://schemas.microsoft.com/office/drawing/2014/main" id="{B58EDD6C-09C6-46D1-90D5-C99145686FA9}"/>
            </a:ext>
          </a:extLst>
        </xdr:cNvPr>
        <xdr:cNvSpPr/>
      </xdr:nvSpPr>
      <xdr:spPr>
        <a:xfrm>
          <a:off x="8805333" y="280249"/>
          <a:ext cx="1202267" cy="306493"/>
        </a:xfrm>
        <a:prstGeom prst="roundRect">
          <a:avLst/>
        </a:prstGeom>
        <a:gradFill>
          <a:gsLst>
            <a:gs pos="0">
              <a:srgbClr val="B5B2C2"/>
            </a:gs>
            <a:gs pos="82000">
              <a:srgbClr val="DADFF7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489C72C-F7AE-46F1-A8C1-2895165DC592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+mn-cs"/>
            </a:rPr>
            <a:pPr marL="0" indent="0" algn="ctr"/>
            <a:t>1st Jun - 15th Sep</a:t>
          </a:fld>
          <a:endParaRPr lang="uk-UA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414865</xdr:colOff>
      <xdr:row>1</xdr:row>
      <xdr:rowOff>169337</xdr:rowOff>
    </xdr:from>
    <xdr:to>
      <xdr:col>7</xdr:col>
      <xdr:colOff>126998</xdr:colOff>
      <xdr:row>3</xdr:row>
      <xdr:rowOff>93137</xdr:rowOff>
    </xdr:to>
    <xdr:sp macro="" textlink="Sheet1!B1">
      <xdr:nvSpPr>
        <xdr:cNvPr id="14" name="TextBox 13">
          <a:extLst>
            <a:ext uri="{FF2B5EF4-FFF2-40B4-BE49-F238E27FC236}">
              <a16:creationId xmlns:a16="http://schemas.microsoft.com/office/drawing/2014/main" id="{814BFF46-8701-4E2D-8508-9A23E12ACE78}"/>
            </a:ext>
          </a:extLst>
        </xdr:cNvPr>
        <xdr:cNvSpPr txBox="1"/>
      </xdr:nvSpPr>
      <xdr:spPr>
        <a:xfrm>
          <a:off x="1634065" y="352217"/>
          <a:ext cx="2760133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1D20AF4D-F9E7-42F8-9A00-3FBA50A82B68}" type="TxLink">
            <a:rPr lang="en-US" sz="1100" b="0" i="0" u="none" strike="noStrike">
              <a:solidFill>
                <a:srgbClr val="232C33"/>
              </a:solidFill>
              <a:latin typeface="Montserrat medium" panose="00000600000000000000" pitchFamily="2" charset="-52"/>
              <a:cs typeface="Calibri"/>
            </a:rPr>
            <a:t>Performance Analytics Dashboard</a:t>
          </a:fld>
          <a:endParaRPr lang="uk-UA" sz="1100" b="0" i="0" u="none" strike="noStrike">
            <a:solidFill>
              <a:srgbClr val="232C33"/>
            </a:solidFill>
            <a:latin typeface="Montserrat medium" panose="00000600000000000000" pitchFamily="2" charset="-52"/>
            <a:cs typeface="Calibri"/>
          </a:endParaRPr>
        </a:p>
      </xdr:txBody>
    </xdr:sp>
    <xdr:clientData/>
  </xdr:twoCellAnchor>
  <xdr:twoCellAnchor>
    <xdr:from>
      <xdr:col>1</xdr:col>
      <xdr:colOff>499534</xdr:colOff>
      <xdr:row>1</xdr:row>
      <xdr:rowOff>8468</xdr:rowOff>
    </xdr:from>
    <xdr:to>
      <xdr:col>2</xdr:col>
      <xdr:colOff>357934</xdr:colOff>
      <xdr:row>4</xdr:row>
      <xdr:rowOff>26392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E3BCA742-8658-4537-B43F-BF7E9E1523A7}"/>
            </a:ext>
          </a:extLst>
        </xdr:cNvPr>
        <xdr:cNvGrpSpPr/>
      </xdr:nvGrpSpPr>
      <xdr:grpSpPr>
        <a:xfrm>
          <a:off x="1109134" y="194735"/>
          <a:ext cx="468000" cy="576724"/>
          <a:chOff x="1041400" y="186269"/>
          <a:chExt cx="468000" cy="576724"/>
        </a:xfrm>
      </xdr:grpSpPr>
      <xdr:sp macro="" textlink="">
        <xdr:nvSpPr>
          <xdr:cNvPr id="16" name="Pentagon 15">
            <a:extLst>
              <a:ext uri="{FF2B5EF4-FFF2-40B4-BE49-F238E27FC236}">
                <a16:creationId xmlns:a16="http://schemas.microsoft.com/office/drawing/2014/main" id="{A40CE5C6-10A8-44EC-9E2B-F86889C3BC26}"/>
              </a:ext>
            </a:extLst>
          </xdr:cNvPr>
          <xdr:cNvSpPr>
            <a:spLocks noChangeAspect="1"/>
          </xdr:cNvSpPr>
        </xdr:nvSpPr>
        <xdr:spPr>
          <a:xfrm>
            <a:off x="1041400" y="186269"/>
            <a:ext cx="468000" cy="441257"/>
          </a:xfrm>
          <a:prstGeom prst="pentagon">
            <a:avLst/>
          </a:prstGeom>
          <a:solidFill>
            <a:srgbClr val="DADFF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uk-UA" sz="1100"/>
          </a:p>
        </xdr:txBody>
      </xdr:sp>
      <xdr:sp macro="" textlink="">
        <xdr:nvSpPr>
          <xdr:cNvPr id="17" name="Pentagon 16">
            <a:extLst>
              <a:ext uri="{FF2B5EF4-FFF2-40B4-BE49-F238E27FC236}">
                <a16:creationId xmlns:a16="http://schemas.microsoft.com/office/drawing/2014/main" id="{C07CEADD-70EF-45A0-94D2-25E5A9038B32}"/>
              </a:ext>
            </a:extLst>
          </xdr:cNvPr>
          <xdr:cNvSpPr>
            <a:spLocks noChangeAspect="1"/>
          </xdr:cNvSpPr>
        </xdr:nvSpPr>
        <xdr:spPr>
          <a:xfrm>
            <a:off x="1041400" y="321736"/>
            <a:ext cx="468000" cy="441257"/>
          </a:xfrm>
          <a:prstGeom prst="pentagon">
            <a:avLst/>
          </a:prstGeom>
          <a:gradFill>
            <a:gsLst>
              <a:gs pos="0">
                <a:srgbClr val="B5B2C2"/>
              </a:gs>
              <a:gs pos="82000">
                <a:srgbClr val="DADFF7"/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uk-UA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16</xdr:col>
      <xdr:colOff>431799</xdr:colOff>
      <xdr:row>1</xdr:row>
      <xdr:rowOff>97369</xdr:rowOff>
    </xdr:from>
    <xdr:to>
      <xdr:col>18</xdr:col>
      <xdr:colOff>414866</xdr:colOff>
      <xdr:row>3</xdr:row>
      <xdr:rowOff>38102</xdr:rowOff>
    </xdr:to>
    <xdr:sp macro="" textlink="Sheet1!B3">
      <xdr:nvSpPr>
        <xdr:cNvPr id="18" name="Rectangle: Rounded Corners 17">
          <a:extLst>
            <a:ext uri="{FF2B5EF4-FFF2-40B4-BE49-F238E27FC236}">
              <a16:creationId xmlns:a16="http://schemas.microsoft.com/office/drawing/2014/main" id="{967CE6B6-14EA-4B5D-8FFD-5F2503BE3EE5}"/>
            </a:ext>
          </a:extLst>
        </xdr:cNvPr>
        <xdr:cNvSpPr/>
      </xdr:nvSpPr>
      <xdr:spPr>
        <a:xfrm>
          <a:off x="10185399" y="280249"/>
          <a:ext cx="1202267" cy="306493"/>
        </a:xfrm>
        <a:prstGeom prst="roundRect">
          <a:avLst/>
        </a:prstGeom>
        <a:gradFill>
          <a:gsLst>
            <a:gs pos="0">
              <a:srgbClr val="B5B2C2"/>
            </a:gs>
            <a:gs pos="82000">
              <a:srgbClr val="DADFF7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2BEB51A-761D-41EC-B59A-E835EA583929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+mn-cs"/>
            </a:rPr>
            <a:pPr marL="0" indent="0" algn="ctr"/>
            <a:t>Quarterly Report</a:t>
          </a:fld>
          <a:endParaRPr lang="uk-UA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25395</xdr:colOff>
      <xdr:row>4</xdr:row>
      <xdr:rowOff>84664</xdr:rowOff>
    </xdr:from>
    <xdr:to>
      <xdr:col>4</xdr:col>
      <xdr:colOff>448728</xdr:colOff>
      <xdr:row>29</xdr:row>
      <xdr:rowOff>50800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93C2FB5-831E-4B45-AD02-C13269D93212}"/>
            </a:ext>
          </a:extLst>
        </xdr:cNvPr>
        <xdr:cNvSpPr/>
      </xdr:nvSpPr>
      <xdr:spPr>
        <a:xfrm>
          <a:off x="1854195" y="816184"/>
          <a:ext cx="1032933" cy="4538136"/>
        </a:xfrm>
        <a:prstGeom prst="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2</xdr:col>
      <xdr:colOff>465665</xdr:colOff>
      <xdr:row>23</xdr:row>
      <xdr:rowOff>50808</xdr:rowOff>
    </xdr:from>
    <xdr:to>
      <xdr:col>2</xdr:col>
      <xdr:colOff>519665</xdr:colOff>
      <xdr:row>25</xdr:row>
      <xdr:rowOff>118541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CDE8F83C-6CD2-4440-AD63-7FAAD9F14A75}"/>
            </a:ext>
          </a:extLst>
        </xdr:cNvPr>
        <xdr:cNvSpPr/>
      </xdr:nvSpPr>
      <xdr:spPr>
        <a:xfrm>
          <a:off x="1684865" y="4334941"/>
          <a:ext cx="54000" cy="440267"/>
        </a:xfrm>
        <a:prstGeom prst="roundRect">
          <a:avLst/>
        </a:prstGeom>
        <a:solidFill>
          <a:srgbClr val="DADFF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3</xdr:col>
      <xdr:colOff>110065</xdr:colOff>
      <xdr:row>4</xdr:row>
      <xdr:rowOff>152396</xdr:rowOff>
    </xdr:from>
    <xdr:to>
      <xdr:col>4</xdr:col>
      <xdr:colOff>524932</xdr:colOff>
      <xdr:row>6</xdr:row>
      <xdr:rowOff>118530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513B3E23-518C-4AC4-8F64-B9E7CF784C24}"/>
            </a:ext>
          </a:extLst>
        </xdr:cNvPr>
        <xdr:cNvGrpSpPr/>
      </xdr:nvGrpSpPr>
      <xdr:grpSpPr>
        <a:xfrm>
          <a:off x="1938865" y="897463"/>
          <a:ext cx="1024467" cy="338667"/>
          <a:chOff x="2057401" y="982133"/>
          <a:chExt cx="1024467" cy="338667"/>
        </a:xfrm>
      </xdr:grpSpPr>
      <xdr:sp macro="" textlink="Sheet1!C21">
        <xdr:nvSpPr>
          <xdr:cNvPr id="22" name="TextBox 21">
            <a:extLst>
              <a:ext uri="{FF2B5EF4-FFF2-40B4-BE49-F238E27FC236}">
                <a16:creationId xmlns:a16="http://schemas.microsoft.com/office/drawing/2014/main" id="{4153CB73-E492-422E-A149-2DE4F1CA7448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E8F972BE-4DBE-4781-B5A1-1E644F888CF7}" type="TxLink">
              <a:rPr lang="en-US" sz="800" b="0" i="0" u="none" strike="noStrike">
                <a:solidFill>
                  <a:srgbClr val="232C33"/>
                </a:solidFill>
                <a:latin typeface="Montserrat"/>
                <a:cs typeface="Calibri"/>
              </a:rPr>
              <a:t>Visits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1">
        <xdr:nvSpPr>
          <xdr:cNvPr id="23" name="TextBox 22">
            <a:extLst>
              <a:ext uri="{FF2B5EF4-FFF2-40B4-BE49-F238E27FC236}">
                <a16:creationId xmlns:a16="http://schemas.microsoft.com/office/drawing/2014/main" id="{6E0770F3-D996-4EE6-9A64-F8E77AC30BB1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827F006B-0E32-4739-BFB6-0681DADFAFBC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65 800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7</xdr:row>
      <xdr:rowOff>51737</xdr:rowOff>
    </xdr:from>
    <xdr:to>
      <xdr:col>4</xdr:col>
      <xdr:colOff>524932</xdr:colOff>
      <xdr:row>9</xdr:row>
      <xdr:rowOff>17871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AB249E98-D80F-4858-A902-D9B6A7A5FC64}"/>
            </a:ext>
          </a:extLst>
        </xdr:cNvPr>
        <xdr:cNvGrpSpPr/>
      </xdr:nvGrpSpPr>
      <xdr:grpSpPr>
        <a:xfrm>
          <a:off x="1938865" y="1355604"/>
          <a:ext cx="1024467" cy="338667"/>
          <a:chOff x="2057401" y="982133"/>
          <a:chExt cx="1024467" cy="338667"/>
        </a:xfrm>
      </xdr:grpSpPr>
      <xdr:sp macro="" textlink="Sheet1!C22">
        <xdr:nvSpPr>
          <xdr:cNvPr id="25" name="TextBox 24">
            <a:extLst>
              <a:ext uri="{FF2B5EF4-FFF2-40B4-BE49-F238E27FC236}">
                <a16:creationId xmlns:a16="http://schemas.microsoft.com/office/drawing/2014/main" id="{7A9C6C82-6F04-47B8-8BCD-C5AC93DAFE53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CD7EBB09-ED16-4DF8-B22B-3F39D09920D8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Page Views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2">
        <xdr:nvSpPr>
          <xdr:cNvPr id="26" name="TextBox 25">
            <a:extLst>
              <a:ext uri="{FF2B5EF4-FFF2-40B4-BE49-F238E27FC236}">
                <a16:creationId xmlns:a16="http://schemas.microsoft.com/office/drawing/2014/main" id="{B39A761F-2DA2-440D-A10D-006B4E3955AD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BD2C5464-BA9D-4BBD-B781-0CAD6312CFD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100 480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12</xdr:row>
      <xdr:rowOff>36686</xdr:rowOff>
    </xdr:from>
    <xdr:to>
      <xdr:col>4</xdr:col>
      <xdr:colOff>524932</xdr:colOff>
      <xdr:row>14</xdr:row>
      <xdr:rowOff>2820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D0D62B95-DE79-4780-9E49-1B05D7EC4F2D}"/>
            </a:ext>
          </a:extLst>
        </xdr:cNvPr>
        <xdr:cNvGrpSpPr/>
      </xdr:nvGrpSpPr>
      <xdr:grpSpPr>
        <a:xfrm>
          <a:off x="1938865" y="2271886"/>
          <a:ext cx="1024467" cy="338667"/>
          <a:chOff x="2057401" y="982133"/>
          <a:chExt cx="1024467" cy="338667"/>
        </a:xfrm>
      </xdr:grpSpPr>
      <xdr:sp macro="" textlink="Sheet1!C24">
        <xdr:nvSpPr>
          <xdr:cNvPr id="28" name="TextBox 27">
            <a:extLst>
              <a:ext uri="{FF2B5EF4-FFF2-40B4-BE49-F238E27FC236}">
                <a16:creationId xmlns:a16="http://schemas.microsoft.com/office/drawing/2014/main" id="{63A5C6E0-3AE2-48D1-ADB0-798364C7BA50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5D1171C4-F89D-4EED-9A67-166015A6784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Exit Rate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4">
        <xdr:nvSpPr>
          <xdr:cNvPr id="29" name="TextBox 28">
            <a:extLst>
              <a:ext uri="{FF2B5EF4-FFF2-40B4-BE49-F238E27FC236}">
                <a16:creationId xmlns:a16="http://schemas.microsoft.com/office/drawing/2014/main" id="{5BCEA813-2424-498D-89C8-2A69ABB11EFC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EA9F93C-5BFD-4170-82A0-3901DA7DD540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44%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14</xdr:row>
      <xdr:rowOff>122294</xdr:rowOff>
    </xdr:from>
    <xdr:to>
      <xdr:col>4</xdr:col>
      <xdr:colOff>524932</xdr:colOff>
      <xdr:row>16</xdr:row>
      <xdr:rowOff>88427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8D605803-79C7-4A78-89E3-C711C8176FEB}"/>
            </a:ext>
          </a:extLst>
        </xdr:cNvPr>
        <xdr:cNvGrpSpPr/>
      </xdr:nvGrpSpPr>
      <xdr:grpSpPr>
        <a:xfrm>
          <a:off x="1938865" y="2730027"/>
          <a:ext cx="1024467" cy="338667"/>
          <a:chOff x="2057401" y="982133"/>
          <a:chExt cx="1024467" cy="338667"/>
        </a:xfrm>
      </xdr:grpSpPr>
      <xdr:sp macro="" textlink="Sheet1!C25">
        <xdr:nvSpPr>
          <xdr:cNvPr id="31" name="TextBox 30">
            <a:extLst>
              <a:ext uri="{FF2B5EF4-FFF2-40B4-BE49-F238E27FC236}">
                <a16:creationId xmlns:a16="http://schemas.microsoft.com/office/drawing/2014/main" id="{15640185-04D8-4C48-A190-9F20E372B9DB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4BFED5A9-BD6C-4B75-A128-14BA340D304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Organic Traffic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5">
        <xdr:nvSpPr>
          <xdr:cNvPr id="32" name="TextBox 31">
            <a:extLst>
              <a:ext uri="{FF2B5EF4-FFF2-40B4-BE49-F238E27FC236}">
                <a16:creationId xmlns:a16="http://schemas.microsoft.com/office/drawing/2014/main" id="{6AB936E4-C587-415D-856D-BB46984EA38E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F79400B-C723-4186-BD3A-811C05F2A073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31 300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17</xdr:row>
      <xdr:rowOff>21635</xdr:rowOff>
    </xdr:from>
    <xdr:to>
      <xdr:col>4</xdr:col>
      <xdr:colOff>524932</xdr:colOff>
      <xdr:row>18</xdr:row>
      <xdr:rowOff>174035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909013CF-51DE-4E80-8224-2FEAA4F4972C}"/>
            </a:ext>
          </a:extLst>
        </xdr:cNvPr>
        <xdr:cNvGrpSpPr/>
      </xdr:nvGrpSpPr>
      <xdr:grpSpPr>
        <a:xfrm>
          <a:off x="1938865" y="3188168"/>
          <a:ext cx="1024467" cy="338667"/>
          <a:chOff x="2057401" y="982133"/>
          <a:chExt cx="1024467" cy="338667"/>
        </a:xfrm>
      </xdr:grpSpPr>
      <xdr:sp macro="" textlink="Sheet1!C26">
        <xdr:nvSpPr>
          <xdr:cNvPr id="34" name="TextBox 33">
            <a:extLst>
              <a:ext uri="{FF2B5EF4-FFF2-40B4-BE49-F238E27FC236}">
                <a16:creationId xmlns:a16="http://schemas.microsoft.com/office/drawing/2014/main" id="{CED72D8E-55C7-4831-941B-41ADDC9D5AA3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1211C3E6-3A3A-4BDF-B05B-283A3808546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Paid Traffic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6">
        <xdr:nvSpPr>
          <xdr:cNvPr id="35" name="TextBox 34">
            <a:extLst>
              <a:ext uri="{FF2B5EF4-FFF2-40B4-BE49-F238E27FC236}">
                <a16:creationId xmlns:a16="http://schemas.microsoft.com/office/drawing/2014/main" id="{FB40A694-3437-4DF8-88D0-910D8A4F5F4C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AF3822E2-8F45-45A3-A0A9-137CD83DF818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7 280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19</xdr:row>
      <xdr:rowOff>107242</xdr:rowOff>
    </xdr:from>
    <xdr:to>
      <xdr:col>4</xdr:col>
      <xdr:colOff>524932</xdr:colOff>
      <xdr:row>21</xdr:row>
      <xdr:rowOff>73376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AA1F41B0-765F-401A-89CE-69EEC9AE3E3F}"/>
            </a:ext>
          </a:extLst>
        </xdr:cNvPr>
        <xdr:cNvGrpSpPr/>
      </xdr:nvGrpSpPr>
      <xdr:grpSpPr>
        <a:xfrm>
          <a:off x="1938865" y="3646309"/>
          <a:ext cx="1024467" cy="338667"/>
          <a:chOff x="2057401" y="982133"/>
          <a:chExt cx="1024467" cy="338667"/>
        </a:xfrm>
      </xdr:grpSpPr>
      <xdr:sp macro="" textlink="Sheet1!C27">
        <xdr:nvSpPr>
          <xdr:cNvPr id="37" name="TextBox 36">
            <a:extLst>
              <a:ext uri="{FF2B5EF4-FFF2-40B4-BE49-F238E27FC236}">
                <a16:creationId xmlns:a16="http://schemas.microsoft.com/office/drawing/2014/main" id="{F75231B3-790A-4146-B3E3-0CEACF25D760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CEE23843-822A-4CB9-A810-568B837D8B9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Direct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7">
        <xdr:nvSpPr>
          <xdr:cNvPr id="38" name="TextBox 37">
            <a:extLst>
              <a:ext uri="{FF2B5EF4-FFF2-40B4-BE49-F238E27FC236}">
                <a16:creationId xmlns:a16="http://schemas.microsoft.com/office/drawing/2014/main" id="{0913CC69-471A-4043-9A0E-2E95BB8DADE6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ECD9853-913F-4973-B0E2-CC02CEF99FAA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7 750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22</xdr:row>
      <xdr:rowOff>6583</xdr:rowOff>
    </xdr:from>
    <xdr:to>
      <xdr:col>4</xdr:col>
      <xdr:colOff>524932</xdr:colOff>
      <xdr:row>23</xdr:row>
      <xdr:rowOff>158984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744A38FE-8FC9-4049-AF3F-E78D24292E27}"/>
            </a:ext>
          </a:extLst>
        </xdr:cNvPr>
        <xdr:cNvGrpSpPr/>
      </xdr:nvGrpSpPr>
      <xdr:grpSpPr>
        <a:xfrm>
          <a:off x="1938865" y="4104450"/>
          <a:ext cx="1024467" cy="338667"/>
          <a:chOff x="2057401" y="982133"/>
          <a:chExt cx="1024467" cy="338667"/>
        </a:xfrm>
      </xdr:grpSpPr>
      <xdr:sp macro="" textlink="Sheet1!C28">
        <xdr:nvSpPr>
          <xdr:cNvPr id="40" name="TextBox 39">
            <a:extLst>
              <a:ext uri="{FF2B5EF4-FFF2-40B4-BE49-F238E27FC236}">
                <a16:creationId xmlns:a16="http://schemas.microsoft.com/office/drawing/2014/main" id="{4EA76505-78F0-4CDF-B2B8-6CC1BE0DCBC8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95A9C768-8B7C-496E-80EA-AE998DEB5256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Social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8">
        <xdr:nvSpPr>
          <xdr:cNvPr id="41" name="TextBox 40">
            <a:extLst>
              <a:ext uri="{FF2B5EF4-FFF2-40B4-BE49-F238E27FC236}">
                <a16:creationId xmlns:a16="http://schemas.microsoft.com/office/drawing/2014/main" id="{951096C9-3276-4ED2-A1A7-3E6261E9EA4B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D7D2AB42-D141-4AA0-916A-1D63FFE52F93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2 540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24</xdr:row>
      <xdr:rowOff>92191</xdr:rowOff>
    </xdr:from>
    <xdr:to>
      <xdr:col>4</xdr:col>
      <xdr:colOff>524932</xdr:colOff>
      <xdr:row>26</xdr:row>
      <xdr:rowOff>58325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905061D1-91E6-415E-BFDB-7B637B3BCF76}"/>
            </a:ext>
          </a:extLst>
        </xdr:cNvPr>
        <xdr:cNvGrpSpPr/>
      </xdr:nvGrpSpPr>
      <xdr:grpSpPr>
        <a:xfrm>
          <a:off x="1938865" y="4562591"/>
          <a:ext cx="1024467" cy="338667"/>
          <a:chOff x="2057401" y="982133"/>
          <a:chExt cx="1024467" cy="338667"/>
        </a:xfrm>
      </xdr:grpSpPr>
      <xdr:sp macro="" textlink="Sheet1!C29">
        <xdr:nvSpPr>
          <xdr:cNvPr id="43" name="TextBox 42">
            <a:extLst>
              <a:ext uri="{FF2B5EF4-FFF2-40B4-BE49-F238E27FC236}">
                <a16:creationId xmlns:a16="http://schemas.microsoft.com/office/drawing/2014/main" id="{FD156A37-81DF-44D3-B85A-AD68A2D6CCCB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7E20ED74-2368-4D5F-A802-C7EAEFE5DAC0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Referral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9">
        <xdr:nvSpPr>
          <xdr:cNvPr id="44" name="TextBox 43">
            <a:extLst>
              <a:ext uri="{FF2B5EF4-FFF2-40B4-BE49-F238E27FC236}">
                <a16:creationId xmlns:a16="http://schemas.microsoft.com/office/drawing/2014/main" id="{2E4E194E-36C1-4BF7-88F4-49F4B1783503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64169426-2861-4E52-AE1E-A2867C8C861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16 930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26</xdr:row>
      <xdr:rowOff>177801</xdr:rowOff>
    </xdr:from>
    <xdr:to>
      <xdr:col>4</xdr:col>
      <xdr:colOff>524932</xdr:colOff>
      <xdr:row>28</xdr:row>
      <xdr:rowOff>143934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DB8400C3-FBC1-4A5A-9316-A0E919D1BF40}"/>
            </a:ext>
          </a:extLst>
        </xdr:cNvPr>
        <xdr:cNvGrpSpPr/>
      </xdr:nvGrpSpPr>
      <xdr:grpSpPr>
        <a:xfrm>
          <a:off x="1938865" y="5020734"/>
          <a:ext cx="1024467" cy="338667"/>
          <a:chOff x="2057401" y="982133"/>
          <a:chExt cx="1024467" cy="338667"/>
        </a:xfrm>
      </xdr:grpSpPr>
      <xdr:sp macro="" textlink="Sheet1!C30">
        <xdr:nvSpPr>
          <xdr:cNvPr id="46" name="TextBox 45">
            <a:extLst>
              <a:ext uri="{FF2B5EF4-FFF2-40B4-BE49-F238E27FC236}">
                <a16:creationId xmlns:a16="http://schemas.microsoft.com/office/drawing/2014/main" id="{0C5CFAE5-660B-4072-A0CC-C879C478F717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98944F5-3273-43A3-A780-8A6B80228414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Top Location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30">
        <xdr:nvSpPr>
          <xdr:cNvPr id="47" name="TextBox 46">
            <a:extLst>
              <a:ext uri="{FF2B5EF4-FFF2-40B4-BE49-F238E27FC236}">
                <a16:creationId xmlns:a16="http://schemas.microsoft.com/office/drawing/2014/main" id="{3EBF174B-F6BE-4901-87D9-907BA0736C0F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46B869EF-1FDB-4E88-BF2E-7D10528AE82C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Japan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3</xdr:col>
      <xdr:colOff>110065</xdr:colOff>
      <xdr:row>9</xdr:row>
      <xdr:rowOff>137345</xdr:rowOff>
    </xdr:from>
    <xdr:to>
      <xdr:col>4</xdr:col>
      <xdr:colOff>524932</xdr:colOff>
      <xdr:row>11</xdr:row>
      <xdr:rowOff>103479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36768D0A-113C-47F6-A318-3BDE5F0003B3}"/>
            </a:ext>
          </a:extLst>
        </xdr:cNvPr>
        <xdr:cNvGrpSpPr/>
      </xdr:nvGrpSpPr>
      <xdr:grpSpPr>
        <a:xfrm>
          <a:off x="1938865" y="1813745"/>
          <a:ext cx="1024467" cy="338667"/>
          <a:chOff x="2057401" y="982133"/>
          <a:chExt cx="1024467" cy="338667"/>
        </a:xfrm>
      </xdr:grpSpPr>
      <xdr:sp macro="" textlink="Sheet1!C23">
        <xdr:nvSpPr>
          <xdr:cNvPr id="49" name="TextBox 48">
            <a:extLst>
              <a:ext uri="{FF2B5EF4-FFF2-40B4-BE49-F238E27FC236}">
                <a16:creationId xmlns:a16="http://schemas.microsoft.com/office/drawing/2014/main" id="{CD3FE615-0AC0-4707-85D5-0563522A153C}"/>
              </a:ext>
            </a:extLst>
          </xdr:cNvPr>
          <xdr:cNvSpPr txBox="1"/>
        </xdr:nvSpPr>
        <xdr:spPr>
          <a:xfrm>
            <a:off x="2057401" y="9821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F64F3898-E2B5-45B5-9AC1-3DE54A3C1A8B}" type="TxLink">
              <a:rPr lang="en-US" sz="800" b="0" i="0" u="none" strike="noStrike">
                <a:solidFill>
                  <a:srgbClr val="000000"/>
                </a:solidFill>
                <a:latin typeface="Montserrat"/>
                <a:cs typeface="Calibri"/>
              </a:rPr>
              <a:t>Bounce Rate</a:t>
            </a:fld>
            <a:endParaRPr lang="uk-UA" sz="900" b="0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endParaRPr>
          </a:p>
        </xdr:txBody>
      </xdr:sp>
      <xdr:sp macro="" textlink="Sheet1!D23">
        <xdr:nvSpPr>
          <xdr:cNvPr id="50" name="TextBox 49">
            <a:extLst>
              <a:ext uri="{FF2B5EF4-FFF2-40B4-BE49-F238E27FC236}">
                <a16:creationId xmlns:a16="http://schemas.microsoft.com/office/drawing/2014/main" id="{3007AB11-59DA-483A-8F86-E47E3EA17EB3}"/>
              </a:ext>
            </a:extLst>
          </xdr:cNvPr>
          <xdr:cNvSpPr txBox="1"/>
        </xdr:nvSpPr>
        <xdr:spPr>
          <a:xfrm>
            <a:off x="2057401" y="1134533"/>
            <a:ext cx="1024467" cy="1862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fld id="{8FD1269B-3FF7-4124-B443-2187D69E253B}" type="TxLink">
              <a:rPr lang="en-US" sz="800" b="1" i="0" u="none" strike="noStrike">
                <a:solidFill>
                  <a:srgbClr val="000000"/>
                </a:solidFill>
                <a:latin typeface="Montserrat"/>
                <a:cs typeface="Calibri"/>
              </a:rPr>
              <a:t>45%</a:t>
            </a:fld>
            <a:endParaRPr lang="en-US" sz="800" b="1" i="0" u="none" strike="noStrike">
              <a:solidFill>
                <a:srgbClr val="232C33"/>
              </a:solidFill>
              <a:latin typeface="Montserrat"/>
              <a:cs typeface="Calibri"/>
            </a:endParaRPr>
          </a:p>
        </xdr:txBody>
      </xdr:sp>
    </xdr:grpSp>
    <xdr:clientData/>
  </xdr:twoCellAnchor>
  <xdr:twoCellAnchor>
    <xdr:from>
      <xdr:col>5</xdr:col>
      <xdr:colOff>3396</xdr:colOff>
      <xdr:row>4</xdr:row>
      <xdr:rowOff>84664</xdr:rowOff>
    </xdr:from>
    <xdr:to>
      <xdr:col>9</xdr:col>
      <xdr:colOff>264996</xdr:colOff>
      <xdr:row>14</xdr:row>
      <xdr:rowOff>93998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2A8C5B26-DDB3-4C81-8836-19B0731DC05F}"/>
            </a:ext>
          </a:extLst>
        </xdr:cNvPr>
        <xdr:cNvSpPr/>
      </xdr:nvSpPr>
      <xdr:spPr>
        <a:xfrm>
          <a:off x="3051396" y="816184"/>
          <a:ext cx="2700000" cy="183813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9</xdr:col>
      <xdr:colOff>429266</xdr:colOff>
      <xdr:row>4</xdr:row>
      <xdr:rowOff>84664</xdr:rowOff>
    </xdr:from>
    <xdr:to>
      <xdr:col>14</xdr:col>
      <xdr:colOff>81266</xdr:colOff>
      <xdr:row>14</xdr:row>
      <xdr:rowOff>93998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4B8A116C-BF0C-43FD-9B1D-C4227D0325BA}"/>
            </a:ext>
          </a:extLst>
        </xdr:cNvPr>
        <xdr:cNvSpPr/>
      </xdr:nvSpPr>
      <xdr:spPr>
        <a:xfrm>
          <a:off x="5915666" y="816184"/>
          <a:ext cx="2700000" cy="183813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14</xdr:col>
      <xdr:colOff>245535</xdr:colOff>
      <xdr:row>4</xdr:row>
      <xdr:rowOff>84664</xdr:rowOff>
    </xdr:from>
    <xdr:to>
      <xdr:col>18</xdr:col>
      <xdr:colOff>507135</xdr:colOff>
      <xdr:row>25</xdr:row>
      <xdr:rowOff>97064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B65DA80-5219-4AA4-ACD4-F378308D59FF}"/>
            </a:ext>
          </a:extLst>
        </xdr:cNvPr>
        <xdr:cNvSpPr/>
      </xdr:nvSpPr>
      <xdr:spPr>
        <a:xfrm>
          <a:off x="8779935" y="816184"/>
          <a:ext cx="2700000" cy="385288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3396</xdr:colOff>
      <xdr:row>15</xdr:row>
      <xdr:rowOff>87731</xdr:rowOff>
    </xdr:from>
    <xdr:to>
      <xdr:col>9</xdr:col>
      <xdr:colOff>264996</xdr:colOff>
      <xdr:row>25</xdr:row>
      <xdr:rowOff>97064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1058C22-26CE-4B51-BFAA-15D0C2B8632A}"/>
            </a:ext>
          </a:extLst>
        </xdr:cNvPr>
        <xdr:cNvSpPr/>
      </xdr:nvSpPr>
      <xdr:spPr>
        <a:xfrm>
          <a:off x="3051396" y="2830931"/>
          <a:ext cx="2700000" cy="183813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9</xdr:col>
      <xdr:colOff>429266</xdr:colOff>
      <xdr:row>15</xdr:row>
      <xdr:rowOff>87731</xdr:rowOff>
    </xdr:from>
    <xdr:to>
      <xdr:col>14</xdr:col>
      <xdr:colOff>81266</xdr:colOff>
      <xdr:row>25</xdr:row>
      <xdr:rowOff>97064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B88721A3-5143-40F3-913F-F8397BB1F9C6}"/>
            </a:ext>
          </a:extLst>
        </xdr:cNvPr>
        <xdr:cNvSpPr/>
      </xdr:nvSpPr>
      <xdr:spPr>
        <a:xfrm>
          <a:off x="5915666" y="2830931"/>
          <a:ext cx="2700000" cy="183813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33867</xdr:colOff>
      <xdr:row>4</xdr:row>
      <xdr:rowOff>110066</xdr:rowOff>
    </xdr:from>
    <xdr:to>
      <xdr:col>9</xdr:col>
      <xdr:colOff>245533</xdr:colOff>
      <xdr:row>14</xdr:row>
      <xdr:rowOff>8467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69936E88-2AAC-4D73-8638-46CA7D538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452130</xdr:colOff>
      <xdr:row>4</xdr:row>
      <xdr:rowOff>101600</xdr:rowOff>
    </xdr:from>
    <xdr:to>
      <xdr:col>14</xdr:col>
      <xdr:colOff>8468</xdr:colOff>
      <xdr:row>14</xdr:row>
      <xdr:rowOff>67734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E2C7FF52-02F0-403D-B04C-49B314DB8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429266</xdr:colOff>
      <xdr:row>4</xdr:row>
      <xdr:rowOff>84664</xdr:rowOff>
    </xdr:from>
    <xdr:to>
      <xdr:col>12</xdr:col>
      <xdr:colOff>90599</xdr:colOff>
      <xdr:row>5</xdr:row>
      <xdr:rowOff>135465</xdr:rowOff>
    </xdr:to>
    <xdr:sp macro="" textlink="">
      <xdr:nvSpPr>
        <xdr:cNvPr id="58" name="TextBox 1">
          <a:extLst>
            <a:ext uri="{FF2B5EF4-FFF2-40B4-BE49-F238E27FC236}">
              <a16:creationId xmlns:a16="http://schemas.microsoft.com/office/drawing/2014/main" id="{0F4F8E28-C8E4-42BB-B864-F44EA82A9E6B}"/>
            </a:ext>
          </a:extLst>
        </xdr:cNvPr>
        <xdr:cNvSpPr txBox="1"/>
      </xdr:nvSpPr>
      <xdr:spPr>
        <a:xfrm>
          <a:off x="5915666" y="816184"/>
          <a:ext cx="1490133" cy="233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Bounce &amp; Exit Rate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5</xdr:col>
      <xdr:colOff>33866</xdr:colOff>
      <xdr:row>15</xdr:row>
      <xdr:rowOff>110066</xdr:rowOff>
    </xdr:from>
    <xdr:to>
      <xdr:col>9</xdr:col>
      <xdr:colOff>211667</xdr:colOff>
      <xdr:row>25</xdr:row>
      <xdr:rowOff>25399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10308F63-A60A-4D12-937C-E27A25E09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3397</xdr:colOff>
      <xdr:row>15</xdr:row>
      <xdr:rowOff>87731</xdr:rowOff>
    </xdr:from>
    <xdr:to>
      <xdr:col>7</xdr:col>
      <xdr:colOff>274330</xdr:colOff>
      <xdr:row>16</xdr:row>
      <xdr:rowOff>138531</xdr:rowOff>
    </xdr:to>
    <xdr:sp macro="" textlink="">
      <xdr:nvSpPr>
        <xdr:cNvPr id="60" name="TextBox 1">
          <a:extLst>
            <a:ext uri="{FF2B5EF4-FFF2-40B4-BE49-F238E27FC236}">
              <a16:creationId xmlns:a16="http://schemas.microsoft.com/office/drawing/2014/main" id="{F9869752-AF14-4B34-95FB-92E07DB58BFE}"/>
            </a:ext>
          </a:extLst>
        </xdr:cNvPr>
        <xdr:cNvSpPr txBox="1"/>
      </xdr:nvSpPr>
      <xdr:spPr>
        <a:xfrm>
          <a:off x="3051397" y="2830931"/>
          <a:ext cx="1490133" cy="233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Organic vs. Paid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9</xdr:col>
      <xdr:colOff>482600</xdr:colOff>
      <xdr:row>15</xdr:row>
      <xdr:rowOff>155464</xdr:rowOff>
    </xdr:from>
    <xdr:to>
      <xdr:col>14</xdr:col>
      <xdr:colOff>16934</xdr:colOff>
      <xdr:row>25</xdr:row>
      <xdr:rowOff>16933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4C99DCD8-E6F1-43D5-BA29-08E44385F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429266</xdr:colOff>
      <xdr:row>15</xdr:row>
      <xdr:rowOff>87731</xdr:rowOff>
    </xdr:from>
    <xdr:to>
      <xdr:col>13</xdr:col>
      <xdr:colOff>313267</xdr:colOff>
      <xdr:row>16</xdr:row>
      <xdr:rowOff>160866</xdr:rowOff>
    </xdr:to>
    <xdr:sp macro="" textlink="">
      <xdr:nvSpPr>
        <xdr:cNvPr id="62" name="TextBox 1">
          <a:extLst>
            <a:ext uri="{FF2B5EF4-FFF2-40B4-BE49-F238E27FC236}">
              <a16:creationId xmlns:a16="http://schemas.microsoft.com/office/drawing/2014/main" id="{D774B81C-E962-40ED-9703-4341CADCC11F}"/>
            </a:ext>
          </a:extLst>
        </xdr:cNvPr>
        <xdr:cNvSpPr txBox="1"/>
      </xdr:nvSpPr>
      <xdr:spPr>
        <a:xfrm>
          <a:off x="5915666" y="2830931"/>
          <a:ext cx="2322401" cy="256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Direct vs. Social</a:t>
          </a:r>
          <a:r>
            <a:rPr lang="en-US" sz="900" b="1" i="0" u="none" strike="noStrike" baseline="0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 vs. Referral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14</xdr:col>
      <xdr:colOff>287868</xdr:colOff>
      <xdr:row>6</xdr:row>
      <xdr:rowOff>59265</xdr:rowOff>
    </xdr:from>
    <xdr:to>
      <xdr:col>18</xdr:col>
      <xdr:colOff>465666</xdr:colOff>
      <xdr:row>21</xdr:row>
      <xdr:rowOff>135467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552E3CDF-8880-4530-AD48-61A18C79E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14</xdr:col>
      <xdr:colOff>245535</xdr:colOff>
      <xdr:row>4</xdr:row>
      <xdr:rowOff>84664</xdr:rowOff>
    </xdr:from>
    <xdr:to>
      <xdr:col>16</xdr:col>
      <xdr:colOff>516468</xdr:colOff>
      <xdr:row>5</xdr:row>
      <xdr:rowOff>135465</xdr:rowOff>
    </xdr:to>
    <xdr:sp macro="" textlink="">
      <xdr:nvSpPr>
        <xdr:cNvPr id="64" name="TextBox 1">
          <a:extLst>
            <a:ext uri="{FF2B5EF4-FFF2-40B4-BE49-F238E27FC236}">
              <a16:creationId xmlns:a16="http://schemas.microsoft.com/office/drawing/2014/main" id="{081465F1-AE00-4C16-993D-E7EFF76DDF3C}"/>
            </a:ext>
          </a:extLst>
        </xdr:cNvPr>
        <xdr:cNvSpPr txBox="1"/>
      </xdr:nvSpPr>
      <xdr:spPr>
        <a:xfrm>
          <a:off x="8779935" y="816184"/>
          <a:ext cx="1490133" cy="233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Geographic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5</xdr:col>
      <xdr:colOff>3396</xdr:colOff>
      <xdr:row>26</xdr:row>
      <xdr:rowOff>44400</xdr:rowOff>
    </xdr:from>
    <xdr:to>
      <xdr:col>9</xdr:col>
      <xdr:colOff>264996</xdr:colOff>
      <xdr:row>29</xdr:row>
      <xdr:rowOff>50800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81A3D3B-F2D8-41AA-B7A1-FCA9E3F5846A}"/>
            </a:ext>
          </a:extLst>
        </xdr:cNvPr>
        <xdr:cNvSpPr/>
      </xdr:nvSpPr>
      <xdr:spPr>
        <a:xfrm>
          <a:off x="3051396" y="4799280"/>
          <a:ext cx="2700000" cy="5550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5</xdr:col>
      <xdr:colOff>406400</xdr:colOff>
      <xdr:row>26</xdr:row>
      <xdr:rowOff>25400</xdr:rowOff>
    </xdr:from>
    <xdr:to>
      <xdr:col>9</xdr:col>
      <xdr:colOff>264996</xdr:colOff>
      <xdr:row>29</xdr:row>
      <xdr:rowOff>30598</xdr:rowOff>
    </xdr:to>
    <xdr:sp macro="" textlink="Sheet1!C34">
      <xdr:nvSpPr>
        <xdr:cNvPr id="66" name="Rectangle 65">
          <a:extLst>
            <a:ext uri="{FF2B5EF4-FFF2-40B4-BE49-F238E27FC236}">
              <a16:creationId xmlns:a16="http://schemas.microsoft.com/office/drawing/2014/main" id="{77DB343C-4D56-435E-9755-ACE8ED4A4B25}"/>
            </a:ext>
          </a:extLst>
        </xdr:cNvPr>
        <xdr:cNvSpPr/>
      </xdr:nvSpPr>
      <xdr:spPr>
        <a:xfrm>
          <a:off x="3454400" y="4780280"/>
          <a:ext cx="2296996" cy="55383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>
    <xdr:from>
      <xdr:col>9</xdr:col>
      <xdr:colOff>429266</xdr:colOff>
      <xdr:row>26</xdr:row>
      <xdr:rowOff>44400</xdr:rowOff>
    </xdr:from>
    <xdr:to>
      <xdr:col>14</xdr:col>
      <xdr:colOff>81266</xdr:colOff>
      <xdr:row>29</xdr:row>
      <xdr:rowOff>50800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47D3F13A-26C5-480E-82B1-536BC0FCC30D}"/>
            </a:ext>
          </a:extLst>
        </xdr:cNvPr>
        <xdr:cNvSpPr/>
      </xdr:nvSpPr>
      <xdr:spPr>
        <a:xfrm>
          <a:off x="5915666" y="4799280"/>
          <a:ext cx="2700000" cy="5550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10</xdr:col>
      <xdr:colOff>237066</xdr:colOff>
      <xdr:row>26</xdr:row>
      <xdr:rowOff>42333</xdr:rowOff>
    </xdr:from>
    <xdr:to>
      <xdr:col>14</xdr:col>
      <xdr:colOff>95662</xdr:colOff>
      <xdr:row>29</xdr:row>
      <xdr:rowOff>47531</xdr:rowOff>
    </xdr:to>
    <xdr:sp macro="" textlink="Sheet1!C34">
      <xdr:nvSpPr>
        <xdr:cNvPr id="68" name="Rectangle 67">
          <a:extLst>
            <a:ext uri="{FF2B5EF4-FFF2-40B4-BE49-F238E27FC236}">
              <a16:creationId xmlns:a16="http://schemas.microsoft.com/office/drawing/2014/main" id="{395FB27B-3CAE-47A3-BA0A-2C609C9750E5}"/>
            </a:ext>
          </a:extLst>
        </xdr:cNvPr>
        <xdr:cNvSpPr/>
      </xdr:nvSpPr>
      <xdr:spPr>
        <a:xfrm>
          <a:off x="6333066" y="4797213"/>
          <a:ext cx="2296996" cy="55383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>
    <xdr:from>
      <xdr:col>14</xdr:col>
      <xdr:colOff>245535</xdr:colOff>
      <xdr:row>26</xdr:row>
      <xdr:rowOff>44400</xdr:rowOff>
    </xdr:from>
    <xdr:to>
      <xdr:col>18</xdr:col>
      <xdr:colOff>507135</xdr:colOff>
      <xdr:row>29</xdr:row>
      <xdr:rowOff>50800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E06A636-C111-4FFB-BC40-5F2ED87779EB}"/>
            </a:ext>
          </a:extLst>
        </xdr:cNvPr>
        <xdr:cNvSpPr/>
      </xdr:nvSpPr>
      <xdr:spPr>
        <a:xfrm>
          <a:off x="8779935" y="4799280"/>
          <a:ext cx="2700000" cy="5550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15</xdr:col>
      <xdr:colOff>42332</xdr:colOff>
      <xdr:row>26</xdr:row>
      <xdr:rowOff>42333</xdr:rowOff>
    </xdr:from>
    <xdr:to>
      <xdr:col>18</xdr:col>
      <xdr:colOff>510528</xdr:colOff>
      <xdr:row>29</xdr:row>
      <xdr:rowOff>47531</xdr:rowOff>
    </xdr:to>
    <xdr:sp macro="" textlink="Sheet1!C34">
      <xdr:nvSpPr>
        <xdr:cNvPr id="70" name="Rectangle 69">
          <a:extLst>
            <a:ext uri="{FF2B5EF4-FFF2-40B4-BE49-F238E27FC236}">
              <a16:creationId xmlns:a16="http://schemas.microsoft.com/office/drawing/2014/main" id="{A74B2A84-04CF-4F19-9620-55EB1897E875}"/>
            </a:ext>
          </a:extLst>
        </xdr:cNvPr>
        <xdr:cNvSpPr/>
      </xdr:nvSpPr>
      <xdr:spPr>
        <a:xfrm>
          <a:off x="9186332" y="4797213"/>
          <a:ext cx="2296996" cy="55383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rgbClr val="B5B2C2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51CC8D7-821D-4976-B486-F71F14AC453A}" type="TxLink">
            <a:rPr lang="en-US" sz="800" b="0" i="0" u="none" strike="noStrike">
              <a:solidFill>
                <a:srgbClr val="000000"/>
              </a:solidFill>
              <a:latin typeface="Montserrat"/>
            </a:rPr>
            <a:t>This is the first insight. You can some actionable insight and recommendation here. This is a dummy text.</a:t>
          </a:fld>
          <a:endParaRPr lang="uk-UA" sz="1100"/>
        </a:p>
      </xdr:txBody>
    </xdr:sp>
    <xdr:clientData/>
  </xdr:twoCellAnchor>
  <xdr:twoCellAnchor editAs="oneCell">
    <xdr:from>
      <xdr:col>14</xdr:col>
      <xdr:colOff>296334</xdr:colOff>
      <xdr:row>26</xdr:row>
      <xdr:rowOff>85300</xdr:rowOff>
    </xdr:from>
    <xdr:to>
      <xdr:col>15</xdr:col>
      <xdr:colOff>118734</xdr:colOff>
      <xdr:row>28</xdr:row>
      <xdr:rowOff>144766</xdr:rowOff>
    </xdr:to>
    <xdr:pic>
      <xdr:nvPicPr>
        <xdr:cNvPr id="71" name="Graphic 70" descr="Magnifying glass with solid fill">
          <a:extLst>
            <a:ext uri="{FF2B5EF4-FFF2-40B4-BE49-F238E27FC236}">
              <a16:creationId xmlns:a16="http://schemas.microsoft.com/office/drawing/2014/main" id="{A711A7C3-129B-4F92-B1A4-E5201FCAC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8830734" y="4840180"/>
          <a:ext cx="432000" cy="425226"/>
        </a:xfrm>
        <a:prstGeom prst="rect">
          <a:avLst/>
        </a:prstGeom>
      </xdr:spPr>
    </xdr:pic>
    <xdr:clientData/>
  </xdr:twoCellAnchor>
  <xdr:twoCellAnchor editAs="oneCell">
    <xdr:from>
      <xdr:col>9</xdr:col>
      <xdr:colOff>463266</xdr:colOff>
      <xdr:row>26</xdr:row>
      <xdr:rowOff>85300</xdr:rowOff>
    </xdr:from>
    <xdr:to>
      <xdr:col>10</xdr:col>
      <xdr:colOff>285666</xdr:colOff>
      <xdr:row>28</xdr:row>
      <xdr:rowOff>144766</xdr:rowOff>
    </xdr:to>
    <xdr:pic>
      <xdr:nvPicPr>
        <xdr:cNvPr id="72" name="Graphic 71" descr="Stopwatch with solid fill">
          <a:extLst>
            <a:ext uri="{FF2B5EF4-FFF2-40B4-BE49-F238E27FC236}">
              <a16:creationId xmlns:a16="http://schemas.microsoft.com/office/drawing/2014/main" id="{ACAC358D-559A-460E-A17F-921A72CB4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949666" y="4840180"/>
          <a:ext cx="432000" cy="425226"/>
        </a:xfrm>
        <a:prstGeom prst="rect">
          <a:avLst/>
        </a:prstGeom>
      </xdr:spPr>
    </xdr:pic>
    <xdr:clientData/>
  </xdr:twoCellAnchor>
  <xdr:twoCellAnchor editAs="oneCell">
    <xdr:from>
      <xdr:col>5</xdr:col>
      <xdr:colOff>37533</xdr:colOff>
      <xdr:row>26</xdr:row>
      <xdr:rowOff>85300</xdr:rowOff>
    </xdr:from>
    <xdr:to>
      <xdr:col>5</xdr:col>
      <xdr:colOff>469533</xdr:colOff>
      <xdr:row>28</xdr:row>
      <xdr:rowOff>144766</xdr:rowOff>
    </xdr:to>
    <xdr:pic>
      <xdr:nvPicPr>
        <xdr:cNvPr id="73" name="Graphic 72" descr="Target with solid fill">
          <a:extLst>
            <a:ext uri="{FF2B5EF4-FFF2-40B4-BE49-F238E27FC236}">
              <a16:creationId xmlns:a16="http://schemas.microsoft.com/office/drawing/2014/main" id="{32754580-91E5-4943-9CB7-21F54BDB7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085533" y="4840180"/>
          <a:ext cx="432000" cy="425226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0.5623</cdr:x>
      <cdr:y>0.13462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2E76224-4259-4765-84E6-3257CF3C8504}"/>
            </a:ext>
          </a:extLst>
        </cdr:cNvPr>
        <cdr:cNvSpPr txBox="1"/>
      </cdr:nvSpPr>
      <cdr:spPr>
        <a:xfrm xmlns:a="http://schemas.openxmlformats.org/drawingml/2006/main">
          <a:off x="0" y="0"/>
          <a:ext cx="1490133" cy="2370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en-US" sz="900" b="1" i="0" u="none" strike="noStrike">
              <a:solidFill>
                <a:srgbClr val="232C33"/>
              </a:solidFill>
              <a:latin typeface="Montserrat" panose="00000500000000000000" pitchFamily="2" charset="0"/>
              <a:cs typeface="Calibri"/>
            </a:rPr>
            <a:t>Visits &amp; Page Views</a:t>
          </a:r>
          <a:endParaRPr lang="uk-UA" sz="900" b="1" i="0" u="none" strike="noStrike">
            <a:solidFill>
              <a:srgbClr val="232C33"/>
            </a:solidFill>
            <a:latin typeface="Montserrat" panose="00000500000000000000" pitchFamily="2" charset="0"/>
            <a:cs typeface="Calibri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0.40129</cdr:x>
      <cdr:y>0.31858</cdr:y>
    </cdr:from>
    <cdr:to>
      <cdr:x>0.6343</cdr:x>
      <cdr:y>0.47788</cdr:y>
    </cdr:to>
    <cdr:sp macro="" textlink="Sheet1!$K$2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E1C86C3-B2A4-4F9D-8360-D346246A2FDB}"/>
            </a:ext>
          </a:extLst>
        </cdr:cNvPr>
        <cdr:cNvSpPr txBox="1"/>
      </cdr:nvSpPr>
      <cdr:spPr>
        <a:xfrm xmlns:a="http://schemas.openxmlformats.org/drawingml/2006/main">
          <a:off x="1049866" y="914402"/>
          <a:ext cx="609599" cy="4571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none" rtlCol="0" anchor="t"/>
        <a:lstStyle xmlns:a="http://schemas.openxmlformats.org/drawingml/2006/main"/>
        <a:p xmlns:a="http://schemas.openxmlformats.org/drawingml/2006/main">
          <a:pPr algn="l"/>
          <a:fld id="{BC0EC81A-FA5F-4201-8621-48F2F5E1632F}" type="TxLink">
            <a:rPr lang="en-US" sz="900" b="1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Japan
34000</a:t>
          </a:fld>
          <a:endParaRPr lang="uk-UA" sz="1000" b="1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225608</xdr:colOff>
      <xdr:row>7</xdr:row>
      <xdr:rowOff>158422</xdr:rowOff>
    </xdr:from>
    <xdr:to>
      <xdr:col>12</xdr:col>
      <xdr:colOff>362710</xdr:colOff>
      <xdr:row>30</xdr:row>
      <xdr:rowOff>161494</xdr:rowOff>
    </xdr:to>
    <xdr:sp macro="" textlink="">
      <xdr:nvSpPr>
        <xdr:cNvPr id="7" name="Freeform: Shape 6">
          <a:extLst>
            <a:ext uri="{FF2B5EF4-FFF2-40B4-BE49-F238E27FC236}">
              <a16:creationId xmlns:a16="http://schemas.microsoft.com/office/drawing/2014/main" id="{93DB9D88-2954-4677-96C4-F6668FE08AE1}"/>
            </a:ext>
          </a:extLst>
        </xdr:cNvPr>
        <xdr:cNvSpPr/>
      </xdr:nvSpPr>
      <xdr:spPr>
        <a:xfrm>
          <a:off x="225608" y="1428422"/>
          <a:ext cx="7430531" cy="4175929"/>
        </a:xfrm>
        <a:custGeom>
          <a:avLst/>
          <a:gdLst>
            <a:gd name="connsiteX0" fmla="*/ 10249 w 7430531"/>
            <a:gd name="connsiteY0" fmla="*/ 3842078 h 4175929"/>
            <a:gd name="connsiteX1" fmla="*/ 717821 w 7430531"/>
            <a:gd name="connsiteY1" fmla="*/ 1202292 h 4175929"/>
            <a:gd name="connsiteX2" fmla="*/ 4137749 w 7430531"/>
            <a:gd name="connsiteY2" fmla="*/ 13935 h 4175929"/>
            <a:gd name="connsiteX3" fmla="*/ 7294606 w 7430531"/>
            <a:gd name="connsiteY3" fmla="*/ 1918935 h 4175929"/>
            <a:gd name="connsiteX4" fmla="*/ 6260463 w 7430531"/>
            <a:gd name="connsiteY4" fmla="*/ 3524578 h 4175929"/>
            <a:gd name="connsiteX5" fmla="*/ 971821 w 7430531"/>
            <a:gd name="connsiteY5" fmla="*/ 4105149 h 4175929"/>
            <a:gd name="connsiteX6" fmla="*/ 10249 w 7430531"/>
            <a:gd name="connsiteY6" fmla="*/ 3842078 h 4175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7430531" h="4175929">
              <a:moveTo>
                <a:pt x="10249" y="3842078"/>
              </a:moveTo>
              <a:cubicBezTo>
                <a:pt x="-32084" y="3358268"/>
                <a:pt x="29904" y="1840316"/>
                <a:pt x="717821" y="1202292"/>
              </a:cubicBezTo>
              <a:cubicBezTo>
                <a:pt x="1405738" y="564268"/>
                <a:pt x="3041618" y="-105506"/>
                <a:pt x="4137749" y="13935"/>
              </a:cubicBezTo>
              <a:cubicBezTo>
                <a:pt x="5233880" y="133375"/>
                <a:pt x="6940820" y="1333828"/>
                <a:pt x="7294606" y="1918935"/>
              </a:cubicBezTo>
              <a:cubicBezTo>
                <a:pt x="7648392" y="2504042"/>
                <a:pt x="7314261" y="3160209"/>
                <a:pt x="6260463" y="3524578"/>
              </a:cubicBezTo>
              <a:cubicBezTo>
                <a:pt x="5206666" y="3888947"/>
                <a:pt x="2008988" y="4053744"/>
                <a:pt x="971821" y="4105149"/>
              </a:cubicBezTo>
              <a:cubicBezTo>
                <a:pt x="-65346" y="4156554"/>
                <a:pt x="52582" y="4325888"/>
                <a:pt x="10249" y="3842078"/>
              </a:cubicBezTo>
              <a:close/>
            </a:path>
          </a:pathLst>
        </a:custGeom>
        <a:solidFill>
          <a:srgbClr val="9966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171743</xdr:colOff>
      <xdr:row>9</xdr:row>
      <xdr:rowOff>10798</xdr:rowOff>
    </xdr:from>
    <xdr:to>
      <xdr:col>31</xdr:col>
      <xdr:colOff>366281</xdr:colOff>
      <xdr:row>46</xdr:row>
      <xdr:rowOff>40240</xdr:rowOff>
    </xdr:to>
    <xdr:sp macro="" textlink="">
      <xdr:nvSpPr>
        <xdr:cNvPr id="9" name="Freeform: Shape 8">
          <a:extLst>
            <a:ext uri="{FF2B5EF4-FFF2-40B4-BE49-F238E27FC236}">
              <a16:creationId xmlns:a16="http://schemas.microsoft.com/office/drawing/2014/main" id="{3E24020E-D76A-4753-AF88-4AFD3E63EB78}"/>
            </a:ext>
          </a:extLst>
        </xdr:cNvPr>
        <xdr:cNvSpPr/>
      </xdr:nvSpPr>
      <xdr:spPr>
        <a:xfrm rot="9557275">
          <a:off x="8680743" y="1643655"/>
          <a:ext cx="10526895" cy="6742299"/>
        </a:xfrm>
        <a:custGeom>
          <a:avLst/>
          <a:gdLst>
            <a:gd name="connsiteX0" fmla="*/ 10249 w 7430531"/>
            <a:gd name="connsiteY0" fmla="*/ 3842078 h 4175929"/>
            <a:gd name="connsiteX1" fmla="*/ 717821 w 7430531"/>
            <a:gd name="connsiteY1" fmla="*/ 1202292 h 4175929"/>
            <a:gd name="connsiteX2" fmla="*/ 4137749 w 7430531"/>
            <a:gd name="connsiteY2" fmla="*/ 13935 h 4175929"/>
            <a:gd name="connsiteX3" fmla="*/ 7294606 w 7430531"/>
            <a:gd name="connsiteY3" fmla="*/ 1918935 h 4175929"/>
            <a:gd name="connsiteX4" fmla="*/ 6260463 w 7430531"/>
            <a:gd name="connsiteY4" fmla="*/ 3524578 h 4175929"/>
            <a:gd name="connsiteX5" fmla="*/ 971821 w 7430531"/>
            <a:gd name="connsiteY5" fmla="*/ 4105149 h 4175929"/>
            <a:gd name="connsiteX6" fmla="*/ 10249 w 7430531"/>
            <a:gd name="connsiteY6" fmla="*/ 3842078 h 4175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7430531" h="4175929">
              <a:moveTo>
                <a:pt x="10249" y="3842078"/>
              </a:moveTo>
              <a:cubicBezTo>
                <a:pt x="-32084" y="3358268"/>
                <a:pt x="29904" y="1840316"/>
                <a:pt x="717821" y="1202292"/>
              </a:cubicBezTo>
              <a:cubicBezTo>
                <a:pt x="1405738" y="564268"/>
                <a:pt x="3041618" y="-105506"/>
                <a:pt x="4137749" y="13935"/>
              </a:cubicBezTo>
              <a:cubicBezTo>
                <a:pt x="5233880" y="133375"/>
                <a:pt x="6940820" y="1333828"/>
                <a:pt x="7294606" y="1918935"/>
              </a:cubicBezTo>
              <a:cubicBezTo>
                <a:pt x="7648392" y="2504042"/>
                <a:pt x="7314261" y="3160209"/>
                <a:pt x="6260463" y="3524578"/>
              </a:cubicBezTo>
              <a:cubicBezTo>
                <a:pt x="5206666" y="3888947"/>
                <a:pt x="2008988" y="4053744"/>
                <a:pt x="971821" y="4105149"/>
              </a:cubicBezTo>
              <a:cubicBezTo>
                <a:pt x="-65346" y="4156554"/>
                <a:pt x="52582" y="4325888"/>
                <a:pt x="10249" y="3842078"/>
              </a:cubicBezTo>
              <a:close/>
            </a:path>
          </a:pathLst>
        </a:cu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254000</xdr:colOff>
      <xdr:row>2</xdr:row>
      <xdr:rowOff>136070</xdr:rowOff>
    </xdr:from>
    <xdr:to>
      <xdr:col>27</xdr:col>
      <xdr:colOff>181428</xdr:colOff>
      <xdr:row>43</xdr:row>
      <xdr:rowOff>95249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3E4C5F7-A3C3-40E1-8EB9-800C0E7689FD}"/>
            </a:ext>
          </a:extLst>
        </xdr:cNvPr>
        <xdr:cNvSpPr/>
      </xdr:nvSpPr>
      <xdr:spPr>
        <a:xfrm>
          <a:off x="1447800" y="491670"/>
          <a:ext cx="14849928" cy="72489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255815</xdr:colOff>
      <xdr:row>5</xdr:row>
      <xdr:rowOff>157539</xdr:rowOff>
    </xdr:from>
    <xdr:to>
      <xdr:col>27</xdr:col>
      <xdr:colOff>181428</xdr:colOff>
      <xdr:row>43</xdr:row>
      <xdr:rowOff>95249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E6828B3-EE1B-427E-96C4-2C6B10F586EB}"/>
            </a:ext>
          </a:extLst>
        </xdr:cNvPr>
        <xdr:cNvSpPr/>
      </xdr:nvSpPr>
      <xdr:spPr>
        <a:xfrm>
          <a:off x="2046515" y="1046539"/>
          <a:ext cx="14251213" cy="669411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381000</xdr:colOff>
      <xdr:row>12</xdr:row>
      <xdr:rowOff>36284</xdr:rowOff>
    </xdr:from>
    <xdr:to>
      <xdr:col>3</xdr:col>
      <xdr:colOff>117930</xdr:colOff>
      <xdr:row>14</xdr:row>
      <xdr:rowOff>18143</xdr:rowOff>
    </xdr:to>
    <xdr:sp macro="" textlink="">
      <xdr:nvSpPr>
        <xdr:cNvPr id="23" name="Teardrop 22">
          <a:extLst>
            <a:ext uri="{FF2B5EF4-FFF2-40B4-BE49-F238E27FC236}">
              <a16:creationId xmlns:a16="http://schemas.microsoft.com/office/drawing/2014/main" id="{611A3ED5-8685-4B74-8989-250EF826BA93}"/>
            </a:ext>
          </a:extLst>
        </xdr:cNvPr>
        <xdr:cNvSpPr/>
      </xdr:nvSpPr>
      <xdr:spPr>
        <a:xfrm>
          <a:off x="1596571" y="2213427"/>
          <a:ext cx="344716" cy="344716"/>
        </a:xfrm>
        <a:prstGeom prst="teardrop">
          <a:avLst/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417928</xdr:colOff>
      <xdr:row>12</xdr:row>
      <xdr:rowOff>72572</xdr:rowOff>
    </xdr:from>
    <xdr:to>
      <xdr:col>3</xdr:col>
      <xdr:colOff>94034</xdr:colOff>
      <xdr:row>13</xdr:row>
      <xdr:rowOff>174101</xdr:rowOff>
    </xdr:to>
    <xdr:pic>
      <xdr:nvPicPr>
        <xdr:cNvPr id="13" name="Graphic 12" descr="Address 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35252C-21B7-4B4A-A7D4-731AE20FE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45595" y="2231572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14</xdr:row>
      <xdr:rowOff>120737</xdr:rowOff>
    </xdr:from>
    <xdr:to>
      <xdr:col>3</xdr:col>
      <xdr:colOff>94034</xdr:colOff>
      <xdr:row>16</xdr:row>
      <xdr:rowOff>42349</xdr:rowOff>
    </xdr:to>
    <xdr:pic>
      <xdr:nvPicPr>
        <xdr:cNvPr id="15" name="Graphic 14" descr="Ato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EDB7D61-F3CE-4B9C-A516-E4E90500E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645595" y="2639570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16</xdr:row>
      <xdr:rowOff>168902</xdr:rowOff>
    </xdr:from>
    <xdr:to>
      <xdr:col>3</xdr:col>
      <xdr:colOff>94034</xdr:colOff>
      <xdr:row>18</xdr:row>
      <xdr:rowOff>90515</xdr:rowOff>
    </xdr:to>
    <xdr:pic>
      <xdr:nvPicPr>
        <xdr:cNvPr id="17" name="Graphic 16" descr="Bank check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438D9F8-4890-4159-9B30-5FDE4A24F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5595" y="3047569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19</xdr:row>
      <xdr:rowOff>37150</xdr:rowOff>
    </xdr:from>
    <xdr:to>
      <xdr:col>3</xdr:col>
      <xdr:colOff>94034</xdr:colOff>
      <xdr:row>20</xdr:row>
      <xdr:rowOff>138680</xdr:rowOff>
    </xdr:to>
    <xdr:pic>
      <xdr:nvPicPr>
        <xdr:cNvPr id="19" name="Graphic 18" descr="Beetl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024554D-600A-4CC5-B295-C814C9CF1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645595" y="3455567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21</xdr:row>
      <xdr:rowOff>85315</xdr:rowOff>
    </xdr:from>
    <xdr:to>
      <xdr:col>3</xdr:col>
      <xdr:colOff>94034</xdr:colOff>
      <xdr:row>23</xdr:row>
      <xdr:rowOff>6928</xdr:rowOff>
    </xdr:to>
    <xdr:pic>
      <xdr:nvPicPr>
        <xdr:cNvPr id="21" name="Graphic 20" descr="Bell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CA76FD5-F4F7-43A6-9F72-E5E223D9C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645595" y="3863565"/>
          <a:ext cx="289939" cy="281446"/>
        </a:xfrm>
        <a:prstGeom prst="rect">
          <a:avLst/>
        </a:prstGeom>
      </xdr:spPr>
    </xdr:pic>
    <xdr:clientData/>
  </xdr:twoCellAnchor>
  <xdr:twoCellAnchor>
    <xdr:from>
      <xdr:col>23</xdr:col>
      <xdr:colOff>417286</xdr:colOff>
      <xdr:row>3</xdr:row>
      <xdr:rowOff>63498</xdr:rowOff>
    </xdr:from>
    <xdr:to>
      <xdr:col>26</xdr:col>
      <xdr:colOff>444500</xdr:colOff>
      <xdr:row>5</xdr:row>
      <xdr:rowOff>45356</xdr:rowOff>
    </xdr:to>
    <xdr:sp macro="" textlink="Sheet1!B3">
      <xdr:nvSpPr>
        <xdr:cNvPr id="24" name="Rectangle: Rounded Corners 23">
          <a:extLst>
            <a:ext uri="{FF2B5EF4-FFF2-40B4-BE49-F238E27FC236}">
              <a16:creationId xmlns:a16="http://schemas.microsoft.com/office/drawing/2014/main" id="{6BBC47D6-0B14-4972-B914-89CE3995BB83}"/>
            </a:ext>
          </a:extLst>
        </xdr:cNvPr>
        <xdr:cNvSpPr/>
      </xdr:nvSpPr>
      <xdr:spPr>
        <a:xfrm>
          <a:off x="14396357" y="607784"/>
          <a:ext cx="1850572" cy="34471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9966FF"/>
            </a:gs>
            <a:gs pos="100000">
              <a:srgbClr val="390058"/>
            </a:gs>
            <a:gs pos="44000">
              <a:srgbClr val="390058"/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0FAEF080-0D45-4A20-BAAD-775542B29B10}" type="TxLink">
            <a:rPr lang="en-US" sz="900" b="0" i="0" u="none" strike="noStrike">
              <a:solidFill>
                <a:schemeClr val="bg1"/>
              </a:solidFill>
              <a:latin typeface="Montserrat"/>
              <a:ea typeface="+mn-ea"/>
              <a:cs typeface="+mn-cs"/>
            </a:rPr>
            <a:pPr marL="0" indent="0" algn="ctr"/>
            <a:t>Quarterly Report</a:t>
          </a:fld>
          <a:endParaRPr lang="en-IN" sz="1000" b="0" i="0" u="none" strike="noStrike">
            <a:solidFill>
              <a:schemeClr val="bg1"/>
            </a:solidFill>
            <a:latin typeface="Montserra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252186</xdr:colOff>
      <xdr:row>3</xdr:row>
      <xdr:rowOff>63498</xdr:rowOff>
    </xdr:from>
    <xdr:to>
      <xdr:col>23</xdr:col>
      <xdr:colOff>279401</xdr:colOff>
      <xdr:row>5</xdr:row>
      <xdr:rowOff>45356</xdr:rowOff>
    </xdr:to>
    <xdr:sp macro="" textlink="Sheet1!B2">
      <xdr:nvSpPr>
        <xdr:cNvPr id="25" name="Rectangle: Rounded Corners 24">
          <a:extLst>
            <a:ext uri="{FF2B5EF4-FFF2-40B4-BE49-F238E27FC236}">
              <a16:creationId xmlns:a16="http://schemas.microsoft.com/office/drawing/2014/main" id="{289AFA24-9E3A-4D69-8890-7DC6DCED77C9}"/>
            </a:ext>
          </a:extLst>
        </xdr:cNvPr>
        <xdr:cNvSpPr/>
      </xdr:nvSpPr>
      <xdr:spPr>
        <a:xfrm>
          <a:off x="12407900" y="607784"/>
          <a:ext cx="1850572" cy="34471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9966FF"/>
            </a:gs>
            <a:gs pos="100000">
              <a:srgbClr val="390058"/>
            </a:gs>
            <a:gs pos="44000">
              <a:srgbClr val="390058"/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A6DA619-8CDB-4AB8-9268-8BD4C18C5D2F}" type="TxLink">
            <a:rPr lang="en-US" sz="900" b="0" i="0" u="none" strike="noStrike">
              <a:solidFill>
                <a:schemeClr val="bg1"/>
              </a:solidFill>
              <a:latin typeface="Montserrat"/>
              <a:ea typeface="+mn-ea"/>
              <a:cs typeface="+mn-cs"/>
            </a:rPr>
            <a:pPr marL="0" indent="0" algn="ctr"/>
            <a:t>1st Jun - 15th Sep</a:t>
          </a:fld>
          <a:endParaRPr lang="en-IN" sz="12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281214</xdr:colOff>
      <xdr:row>3</xdr:row>
      <xdr:rowOff>72571</xdr:rowOff>
    </xdr:from>
    <xdr:to>
      <xdr:col>11</xdr:col>
      <xdr:colOff>36286</xdr:colOff>
      <xdr:row>5</xdr:row>
      <xdr:rowOff>36286</xdr:rowOff>
    </xdr:to>
    <xdr:sp macro="" textlink="Sheet1!B1">
      <xdr:nvSpPr>
        <xdr:cNvPr id="26" name="TextBox 25">
          <a:extLst>
            <a:ext uri="{FF2B5EF4-FFF2-40B4-BE49-F238E27FC236}">
              <a16:creationId xmlns:a16="http://schemas.microsoft.com/office/drawing/2014/main" id="{ADA963BF-CB34-478A-8241-E14E8F8ED876}"/>
            </a:ext>
          </a:extLst>
        </xdr:cNvPr>
        <xdr:cNvSpPr txBox="1"/>
      </xdr:nvSpPr>
      <xdr:spPr>
        <a:xfrm>
          <a:off x="2104571" y="616857"/>
          <a:ext cx="4617358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D76DF08B-6F96-4F8A-8194-AB7B8DB72D55}" type="TxLink">
            <a:rPr lang="en-US" sz="1100" b="0" i="0" u="none" strike="noStrike">
              <a:solidFill>
                <a:srgbClr val="390058"/>
              </a:solidFill>
              <a:latin typeface="Montserrat Medium" panose="00000600000000000000" pitchFamily="2" charset="0"/>
              <a:cs typeface="Calibri"/>
            </a:rPr>
            <a:pPr algn="l"/>
            <a:t>Performance Analytics Dashboard</a:t>
          </a:fld>
          <a:endParaRPr lang="en-IN" sz="1200" b="0" i="0" u="none" strike="noStrike">
            <a:solidFill>
              <a:srgbClr val="390058"/>
            </a:solidFill>
            <a:latin typeface="Montserrat Medium" panose="00000600000000000000" pitchFamily="2" charset="0"/>
            <a:cs typeface="Calibri"/>
          </a:endParaRPr>
        </a:p>
      </xdr:txBody>
    </xdr:sp>
    <xdr:clientData/>
  </xdr:twoCellAnchor>
  <xdr:twoCellAnchor>
    <xdr:from>
      <xdr:col>2</xdr:col>
      <xdr:colOff>351973</xdr:colOff>
      <xdr:row>3</xdr:row>
      <xdr:rowOff>18142</xdr:rowOff>
    </xdr:from>
    <xdr:to>
      <xdr:col>3</xdr:col>
      <xdr:colOff>217275</xdr:colOff>
      <xdr:row>5</xdr:row>
      <xdr:rowOff>163288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BC22BFE5-6804-440C-8D5F-CF3EFB37399E}"/>
            </a:ext>
          </a:extLst>
        </xdr:cNvPr>
        <xdr:cNvGrpSpPr/>
      </xdr:nvGrpSpPr>
      <xdr:grpSpPr>
        <a:xfrm>
          <a:off x="1545773" y="551542"/>
          <a:ext cx="462202" cy="500746"/>
          <a:chOff x="1721757" y="751115"/>
          <a:chExt cx="491673" cy="527960"/>
        </a:xfrm>
      </xdr:grpSpPr>
      <xdr:sp macro="" textlink="">
        <xdr:nvSpPr>
          <xdr:cNvPr id="28" name="Teardrop 27">
            <a:extLst>
              <a:ext uri="{FF2B5EF4-FFF2-40B4-BE49-F238E27FC236}">
                <a16:creationId xmlns:a16="http://schemas.microsoft.com/office/drawing/2014/main" id="{8C42E308-6683-4C2E-B1F6-658F657055E1}"/>
              </a:ext>
            </a:extLst>
          </xdr:cNvPr>
          <xdr:cNvSpPr/>
        </xdr:nvSpPr>
        <xdr:spPr>
          <a:xfrm>
            <a:off x="1721757" y="751115"/>
            <a:ext cx="453571" cy="453571"/>
          </a:xfrm>
          <a:prstGeom prst="teardrop">
            <a:avLst/>
          </a:prstGeom>
          <a:solidFill>
            <a:srgbClr val="9966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7" name="Teardrop 26">
            <a:extLst>
              <a:ext uri="{FF2B5EF4-FFF2-40B4-BE49-F238E27FC236}">
                <a16:creationId xmlns:a16="http://schemas.microsoft.com/office/drawing/2014/main" id="{3C3E064E-CC07-4401-B3D4-9D7EC184EB84}"/>
              </a:ext>
            </a:extLst>
          </xdr:cNvPr>
          <xdr:cNvSpPr/>
        </xdr:nvSpPr>
        <xdr:spPr>
          <a:xfrm>
            <a:off x="1759859" y="825504"/>
            <a:ext cx="453571" cy="453571"/>
          </a:xfrm>
          <a:prstGeom prst="teardrop">
            <a:avLst/>
          </a:prstGeom>
          <a:gradFill flip="none" rotWithShape="1">
            <a:gsLst>
              <a:gs pos="0">
                <a:srgbClr val="9966FF"/>
              </a:gs>
              <a:gs pos="100000">
                <a:srgbClr val="390058"/>
              </a:gs>
              <a:gs pos="44000">
                <a:srgbClr val="390058"/>
              </a:gs>
            </a:gsLst>
            <a:lin ang="2700000" scaled="1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3</xdr:col>
      <xdr:colOff>317501</xdr:colOff>
      <xdr:row>12</xdr:row>
      <xdr:rowOff>27212</xdr:rowOff>
    </xdr:from>
    <xdr:to>
      <xdr:col>3</xdr:col>
      <xdr:colOff>353501</xdr:colOff>
      <xdr:row>14</xdr:row>
      <xdr:rowOff>24355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C1F8A590-DDCD-4ED3-8689-318C8E21140C}"/>
            </a:ext>
          </a:extLst>
        </xdr:cNvPr>
        <xdr:cNvSpPr/>
      </xdr:nvSpPr>
      <xdr:spPr>
        <a:xfrm>
          <a:off x="2140858" y="2204355"/>
          <a:ext cx="36000" cy="360000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117929</xdr:colOff>
      <xdr:row>7</xdr:row>
      <xdr:rowOff>18142</xdr:rowOff>
    </xdr:from>
    <xdr:to>
      <xdr:col>6</xdr:col>
      <xdr:colOff>54430</xdr:colOff>
      <xdr:row>35</xdr:row>
      <xdr:rowOff>54428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6EE6E2DA-1EF7-42C3-82D2-13AB5E490E83}"/>
            </a:ext>
          </a:extLst>
        </xdr:cNvPr>
        <xdr:cNvSpPr/>
      </xdr:nvSpPr>
      <xdr:spPr>
        <a:xfrm>
          <a:off x="2549072" y="1288142"/>
          <a:ext cx="1152072" cy="511628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254902</xdr:colOff>
      <xdr:row>8</xdr:row>
      <xdr:rowOff>119743</xdr:rowOff>
    </xdr:from>
    <xdr:to>
      <xdr:col>5</xdr:col>
      <xdr:colOff>544397</xdr:colOff>
      <xdr:row>9</xdr:row>
      <xdr:rowOff>147390</xdr:rowOff>
    </xdr:to>
    <xdr:sp macro="" textlink="Sheet1!C21">
      <xdr:nvSpPr>
        <xdr:cNvPr id="32" name="TextBox 31">
          <a:extLst>
            <a:ext uri="{FF2B5EF4-FFF2-40B4-BE49-F238E27FC236}">
              <a16:creationId xmlns:a16="http://schemas.microsoft.com/office/drawing/2014/main" id="{6659FC69-089D-49D8-AE2A-AD33D004F945}"/>
            </a:ext>
          </a:extLst>
        </xdr:cNvPr>
        <xdr:cNvSpPr txBox="1"/>
      </xdr:nvSpPr>
      <xdr:spPr>
        <a:xfrm>
          <a:off x="2686045" y="1571172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45427325-9F4F-45FF-A346-255B4FCE87D4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Visits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9</xdr:row>
      <xdr:rowOff>88470</xdr:rowOff>
    </xdr:from>
    <xdr:to>
      <xdr:col>5</xdr:col>
      <xdr:colOff>541678</xdr:colOff>
      <xdr:row>10</xdr:row>
      <xdr:rowOff>116116</xdr:rowOff>
    </xdr:to>
    <xdr:sp macro="" textlink="Sheet1!D21">
      <xdr:nvSpPr>
        <xdr:cNvPr id="33" name="TextBox 32">
          <a:extLst>
            <a:ext uri="{FF2B5EF4-FFF2-40B4-BE49-F238E27FC236}">
              <a16:creationId xmlns:a16="http://schemas.microsoft.com/office/drawing/2014/main" id="{34B25B9B-4720-412C-955D-BDBED4C25C7F}"/>
            </a:ext>
          </a:extLst>
        </xdr:cNvPr>
        <xdr:cNvSpPr txBox="1"/>
      </xdr:nvSpPr>
      <xdr:spPr>
        <a:xfrm>
          <a:off x="2683326" y="1721327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7AF8DCC1-F749-46B2-8E23-83D708A61C32}" type="TxLink">
            <a:rPr lang="en-US" sz="1000" b="1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65 800</a:t>
          </a:fld>
          <a:endParaRPr lang="en-IN" sz="105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11</xdr:row>
      <xdr:rowOff>35077</xdr:rowOff>
    </xdr:from>
    <xdr:to>
      <xdr:col>5</xdr:col>
      <xdr:colOff>544397</xdr:colOff>
      <xdr:row>12</xdr:row>
      <xdr:rowOff>62723</xdr:rowOff>
    </xdr:to>
    <xdr:sp macro="" textlink="Sheet1!C22">
      <xdr:nvSpPr>
        <xdr:cNvPr id="36" name="TextBox 35">
          <a:extLst>
            <a:ext uri="{FF2B5EF4-FFF2-40B4-BE49-F238E27FC236}">
              <a16:creationId xmlns:a16="http://schemas.microsoft.com/office/drawing/2014/main" id="{B99CCA69-2679-4C2D-994C-95BD06C9603E}"/>
            </a:ext>
          </a:extLst>
        </xdr:cNvPr>
        <xdr:cNvSpPr txBox="1"/>
      </xdr:nvSpPr>
      <xdr:spPr>
        <a:xfrm>
          <a:off x="2686045" y="2030791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DB4994B-D64B-449B-9D2E-5C7C5D5E27F6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Page Views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12</xdr:row>
      <xdr:rowOff>3803</xdr:rowOff>
    </xdr:from>
    <xdr:to>
      <xdr:col>5</xdr:col>
      <xdr:colOff>541678</xdr:colOff>
      <xdr:row>13</xdr:row>
      <xdr:rowOff>31450</xdr:rowOff>
    </xdr:to>
    <xdr:sp macro="" textlink="Sheet1!D22">
      <xdr:nvSpPr>
        <xdr:cNvPr id="37" name="TextBox 36">
          <a:extLst>
            <a:ext uri="{FF2B5EF4-FFF2-40B4-BE49-F238E27FC236}">
              <a16:creationId xmlns:a16="http://schemas.microsoft.com/office/drawing/2014/main" id="{D7CF380E-76B7-4186-9C81-063E7C280FDC}"/>
            </a:ext>
          </a:extLst>
        </xdr:cNvPr>
        <xdr:cNvSpPr txBox="1"/>
      </xdr:nvSpPr>
      <xdr:spPr>
        <a:xfrm>
          <a:off x="2683326" y="2180946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FB362E6-7109-4C94-BFB3-6CDE56B12D02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100 480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13</xdr:row>
      <xdr:rowOff>131839</xdr:rowOff>
    </xdr:from>
    <xdr:to>
      <xdr:col>5</xdr:col>
      <xdr:colOff>544397</xdr:colOff>
      <xdr:row>14</xdr:row>
      <xdr:rowOff>159485</xdr:rowOff>
    </xdr:to>
    <xdr:sp macro="" textlink="Sheet1!C23">
      <xdr:nvSpPr>
        <xdr:cNvPr id="39" name="TextBox 38">
          <a:extLst>
            <a:ext uri="{FF2B5EF4-FFF2-40B4-BE49-F238E27FC236}">
              <a16:creationId xmlns:a16="http://schemas.microsoft.com/office/drawing/2014/main" id="{1EEECEE7-E310-4285-9CAF-C9D457560631}"/>
            </a:ext>
          </a:extLst>
        </xdr:cNvPr>
        <xdr:cNvSpPr txBox="1"/>
      </xdr:nvSpPr>
      <xdr:spPr>
        <a:xfrm>
          <a:off x="2686045" y="2490410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4F4D1ECD-53BF-4EA3-AC1D-8A83292BD409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Bounce Rate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14</xdr:row>
      <xdr:rowOff>100565</xdr:rowOff>
    </xdr:from>
    <xdr:to>
      <xdr:col>5</xdr:col>
      <xdr:colOff>541678</xdr:colOff>
      <xdr:row>15</xdr:row>
      <xdr:rowOff>128211</xdr:rowOff>
    </xdr:to>
    <xdr:sp macro="" textlink="Sheet1!D23">
      <xdr:nvSpPr>
        <xdr:cNvPr id="40" name="TextBox 39">
          <a:extLst>
            <a:ext uri="{FF2B5EF4-FFF2-40B4-BE49-F238E27FC236}">
              <a16:creationId xmlns:a16="http://schemas.microsoft.com/office/drawing/2014/main" id="{A94E9C31-E2A6-4E0F-AD59-E6D5D47592F7}"/>
            </a:ext>
          </a:extLst>
        </xdr:cNvPr>
        <xdr:cNvSpPr txBox="1"/>
      </xdr:nvSpPr>
      <xdr:spPr>
        <a:xfrm>
          <a:off x="2683326" y="2640565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A9D1424-E58E-4A1D-AAF0-D58EECBFB925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45%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16</xdr:row>
      <xdr:rowOff>47172</xdr:rowOff>
    </xdr:from>
    <xdr:to>
      <xdr:col>5</xdr:col>
      <xdr:colOff>544397</xdr:colOff>
      <xdr:row>17</xdr:row>
      <xdr:rowOff>74818</xdr:rowOff>
    </xdr:to>
    <xdr:sp macro="" textlink="Sheet1!C24">
      <xdr:nvSpPr>
        <xdr:cNvPr id="42" name="TextBox 41">
          <a:extLst>
            <a:ext uri="{FF2B5EF4-FFF2-40B4-BE49-F238E27FC236}">
              <a16:creationId xmlns:a16="http://schemas.microsoft.com/office/drawing/2014/main" id="{E633D1D1-9C48-4F91-B37B-86C1895A1DB9}"/>
            </a:ext>
          </a:extLst>
        </xdr:cNvPr>
        <xdr:cNvSpPr txBox="1"/>
      </xdr:nvSpPr>
      <xdr:spPr>
        <a:xfrm>
          <a:off x="2686045" y="2950029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7113FD0-93D4-44F4-80F3-773230FC75F1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Exit Rate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17</xdr:row>
      <xdr:rowOff>15898</xdr:rowOff>
    </xdr:from>
    <xdr:to>
      <xdr:col>5</xdr:col>
      <xdr:colOff>541678</xdr:colOff>
      <xdr:row>18</xdr:row>
      <xdr:rowOff>43545</xdr:rowOff>
    </xdr:to>
    <xdr:sp macro="" textlink="Sheet1!D24">
      <xdr:nvSpPr>
        <xdr:cNvPr id="43" name="TextBox 42">
          <a:extLst>
            <a:ext uri="{FF2B5EF4-FFF2-40B4-BE49-F238E27FC236}">
              <a16:creationId xmlns:a16="http://schemas.microsoft.com/office/drawing/2014/main" id="{D20C7BA2-176A-4729-97FE-6063365BAFA3}"/>
            </a:ext>
          </a:extLst>
        </xdr:cNvPr>
        <xdr:cNvSpPr txBox="1"/>
      </xdr:nvSpPr>
      <xdr:spPr>
        <a:xfrm>
          <a:off x="2683326" y="3100184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8BB8D4B-0E4E-487D-8578-74D47CC46EC7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44%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18</xdr:row>
      <xdr:rowOff>143934</xdr:rowOff>
    </xdr:from>
    <xdr:to>
      <xdr:col>5</xdr:col>
      <xdr:colOff>544397</xdr:colOff>
      <xdr:row>19</xdr:row>
      <xdr:rowOff>171580</xdr:rowOff>
    </xdr:to>
    <xdr:sp macro="" textlink="Sheet1!C25">
      <xdr:nvSpPr>
        <xdr:cNvPr id="45" name="TextBox 44">
          <a:extLst>
            <a:ext uri="{FF2B5EF4-FFF2-40B4-BE49-F238E27FC236}">
              <a16:creationId xmlns:a16="http://schemas.microsoft.com/office/drawing/2014/main" id="{5A2068DE-4522-43C7-B65D-14A1E724B916}"/>
            </a:ext>
          </a:extLst>
        </xdr:cNvPr>
        <xdr:cNvSpPr txBox="1"/>
      </xdr:nvSpPr>
      <xdr:spPr>
        <a:xfrm>
          <a:off x="2686045" y="3409648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7AC2CE0-E7A9-4E65-9596-973F56CBADF8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Organic Traffic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19</xdr:row>
      <xdr:rowOff>112660</xdr:rowOff>
    </xdr:from>
    <xdr:to>
      <xdr:col>5</xdr:col>
      <xdr:colOff>541678</xdr:colOff>
      <xdr:row>20</xdr:row>
      <xdr:rowOff>140307</xdr:rowOff>
    </xdr:to>
    <xdr:sp macro="" textlink="Sheet1!D25">
      <xdr:nvSpPr>
        <xdr:cNvPr id="46" name="TextBox 45">
          <a:extLst>
            <a:ext uri="{FF2B5EF4-FFF2-40B4-BE49-F238E27FC236}">
              <a16:creationId xmlns:a16="http://schemas.microsoft.com/office/drawing/2014/main" id="{44C70380-92D8-4B6D-B7C1-41AFF433382C}"/>
            </a:ext>
          </a:extLst>
        </xdr:cNvPr>
        <xdr:cNvSpPr txBox="1"/>
      </xdr:nvSpPr>
      <xdr:spPr>
        <a:xfrm>
          <a:off x="2683326" y="3559803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5BDF479-2A39-4329-9821-6DAC5E8F9761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31 300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21</xdr:row>
      <xdr:rowOff>59267</xdr:rowOff>
    </xdr:from>
    <xdr:to>
      <xdr:col>5</xdr:col>
      <xdr:colOff>544397</xdr:colOff>
      <xdr:row>22</xdr:row>
      <xdr:rowOff>86913</xdr:rowOff>
    </xdr:to>
    <xdr:sp macro="" textlink="Sheet1!C26">
      <xdr:nvSpPr>
        <xdr:cNvPr id="48" name="TextBox 47">
          <a:extLst>
            <a:ext uri="{FF2B5EF4-FFF2-40B4-BE49-F238E27FC236}">
              <a16:creationId xmlns:a16="http://schemas.microsoft.com/office/drawing/2014/main" id="{95A720BF-A9FD-425F-84D8-F68CFFEB72FF}"/>
            </a:ext>
          </a:extLst>
        </xdr:cNvPr>
        <xdr:cNvSpPr txBox="1"/>
      </xdr:nvSpPr>
      <xdr:spPr>
        <a:xfrm>
          <a:off x="2686045" y="3869267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DCAAB2E-1386-46B0-AAF8-FC8E60648403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Paid Traffic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22</xdr:row>
      <xdr:rowOff>27993</xdr:rowOff>
    </xdr:from>
    <xdr:to>
      <xdr:col>5</xdr:col>
      <xdr:colOff>541678</xdr:colOff>
      <xdr:row>23</xdr:row>
      <xdr:rowOff>55640</xdr:rowOff>
    </xdr:to>
    <xdr:sp macro="" textlink="Sheet1!D26">
      <xdr:nvSpPr>
        <xdr:cNvPr id="49" name="TextBox 48">
          <a:extLst>
            <a:ext uri="{FF2B5EF4-FFF2-40B4-BE49-F238E27FC236}">
              <a16:creationId xmlns:a16="http://schemas.microsoft.com/office/drawing/2014/main" id="{EE7491FA-0A68-4072-89B4-65DE9E4ED55E}"/>
            </a:ext>
          </a:extLst>
        </xdr:cNvPr>
        <xdr:cNvSpPr txBox="1"/>
      </xdr:nvSpPr>
      <xdr:spPr>
        <a:xfrm>
          <a:off x="2683326" y="4019422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52BA47A-4C3C-484E-B112-CBCE5E804B53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7 280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23</xdr:row>
      <xdr:rowOff>156029</xdr:rowOff>
    </xdr:from>
    <xdr:to>
      <xdr:col>5</xdr:col>
      <xdr:colOff>544397</xdr:colOff>
      <xdr:row>25</xdr:row>
      <xdr:rowOff>2247</xdr:rowOff>
    </xdr:to>
    <xdr:sp macro="" textlink="Sheet1!C27">
      <xdr:nvSpPr>
        <xdr:cNvPr id="51" name="TextBox 50">
          <a:extLst>
            <a:ext uri="{FF2B5EF4-FFF2-40B4-BE49-F238E27FC236}">
              <a16:creationId xmlns:a16="http://schemas.microsoft.com/office/drawing/2014/main" id="{552EB8F7-37A5-4D71-A4DD-075E6F1B8AE1}"/>
            </a:ext>
          </a:extLst>
        </xdr:cNvPr>
        <xdr:cNvSpPr txBox="1"/>
      </xdr:nvSpPr>
      <xdr:spPr>
        <a:xfrm>
          <a:off x="2686045" y="4328886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920EDD6-0D34-47E4-BB24-87E3E79276AB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Direct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24</xdr:row>
      <xdr:rowOff>124755</xdr:rowOff>
    </xdr:from>
    <xdr:to>
      <xdr:col>5</xdr:col>
      <xdr:colOff>541678</xdr:colOff>
      <xdr:row>25</xdr:row>
      <xdr:rowOff>152402</xdr:rowOff>
    </xdr:to>
    <xdr:sp macro="" textlink="Sheet1!D27">
      <xdr:nvSpPr>
        <xdr:cNvPr id="52" name="TextBox 51">
          <a:extLst>
            <a:ext uri="{FF2B5EF4-FFF2-40B4-BE49-F238E27FC236}">
              <a16:creationId xmlns:a16="http://schemas.microsoft.com/office/drawing/2014/main" id="{4706207B-4D1A-4BCA-A9FB-6EDFCD058930}"/>
            </a:ext>
          </a:extLst>
        </xdr:cNvPr>
        <xdr:cNvSpPr txBox="1"/>
      </xdr:nvSpPr>
      <xdr:spPr>
        <a:xfrm>
          <a:off x="2683326" y="4479041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A81CE9A-2667-4A8D-A754-8D5B7777037A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7 750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26</xdr:row>
      <xdr:rowOff>71362</xdr:rowOff>
    </xdr:from>
    <xdr:to>
      <xdr:col>5</xdr:col>
      <xdr:colOff>544397</xdr:colOff>
      <xdr:row>27</xdr:row>
      <xdr:rowOff>99009</xdr:rowOff>
    </xdr:to>
    <xdr:sp macro="" textlink="Sheet1!C28">
      <xdr:nvSpPr>
        <xdr:cNvPr id="54" name="TextBox 53">
          <a:extLst>
            <a:ext uri="{FF2B5EF4-FFF2-40B4-BE49-F238E27FC236}">
              <a16:creationId xmlns:a16="http://schemas.microsoft.com/office/drawing/2014/main" id="{3ACB9FF6-B6D5-43E8-A442-1CC1EB800EBC}"/>
            </a:ext>
          </a:extLst>
        </xdr:cNvPr>
        <xdr:cNvSpPr txBox="1"/>
      </xdr:nvSpPr>
      <xdr:spPr>
        <a:xfrm>
          <a:off x="2686045" y="4788505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8831F4E-923E-4C8A-9E8E-61FE8A37FDC5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Social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27</xdr:row>
      <xdr:rowOff>40089</xdr:rowOff>
    </xdr:from>
    <xdr:to>
      <xdr:col>5</xdr:col>
      <xdr:colOff>541678</xdr:colOff>
      <xdr:row>28</xdr:row>
      <xdr:rowOff>67735</xdr:rowOff>
    </xdr:to>
    <xdr:sp macro="" textlink="Sheet1!D28">
      <xdr:nvSpPr>
        <xdr:cNvPr id="55" name="TextBox 54">
          <a:extLst>
            <a:ext uri="{FF2B5EF4-FFF2-40B4-BE49-F238E27FC236}">
              <a16:creationId xmlns:a16="http://schemas.microsoft.com/office/drawing/2014/main" id="{67586674-1B50-4EBC-B451-682E5D903C65}"/>
            </a:ext>
          </a:extLst>
        </xdr:cNvPr>
        <xdr:cNvSpPr txBox="1"/>
      </xdr:nvSpPr>
      <xdr:spPr>
        <a:xfrm>
          <a:off x="2683326" y="4938660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7B94C1D-F74E-4233-AA66-92EAA8CA10BE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2 540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28</xdr:row>
      <xdr:rowOff>168124</xdr:rowOff>
    </xdr:from>
    <xdr:to>
      <xdr:col>5</xdr:col>
      <xdr:colOff>544397</xdr:colOff>
      <xdr:row>30</xdr:row>
      <xdr:rowOff>14342</xdr:rowOff>
    </xdr:to>
    <xdr:sp macro="" textlink="Sheet1!C29">
      <xdr:nvSpPr>
        <xdr:cNvPr id="57" name="TextBox 56">
          <a:extLst>
            <a:ext uri="{FF2B5EF4-FFF2-40B4-BE49-F238E27FC236}">
              <a16:creationId xmlns:a16="http://schemas.microsoft.com/office/drawing/2014/main" id="{0CC0B62F-4108-43BA-95FF-A26377A87721}"/>
            </a:ext>
          </a:extLst>
        </xdr:cNvPr>
        <xdr:cNvSpPr txBox="1"/>
      </xdr:nvSpPr>
      <xdr:spPr>
        <a:xfrm>
          <a:off x="2686045" y="5248124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77D5058-F28F-490B-A728-2D3D325C2C5C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Referral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29</xdr:row>
      <xdr:rowOff>136850</xdr:rowOff>
    </xdr:from>
    <xdr:to>
      <xdr:col>5</xdr:col>
      <xdr:colOff>541678</xdr:colOff>
      <xdr:row>30</xdr:row>
      <xdr:rowOff>164497</xdr:rowOff>
    </xdr:to>
    <xdr:sp macro="" textlink="Sheet1!D29">
      <xdr:nvSpPr>
        <xdr:cNvPr id="58" name="TextBox 57">
          <a:extLst>
            <a:ext uri="{FF2B5EF4-FFF2-40B4-BE49-F238E27FC236}">
              <a16:creationId xmlns:a16="http://schemas.microsoft.com/office/drawing/2014/main" id="{A73DA640-31F8-46F4-9075-E1823221E602}"/>
            </a:ext>
          </a:extLst>
        </xdr:cNvPr>
        <xdr:cNvSpPr txBox="1"/>
      </xdr:nvSpPr>
      <xdr:spPr>
        <a:xfrm>
          <a:off x="2683326" y="5398279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C522332-87E7-4CA4-BA25-F933180AE898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16 930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31</xdr:row>
      <xdr:rowOff>83458</xdr:rowOff>
    </xdr:from>
    <xdr:to>
      <xdr:col>5</xdr:col>
      <xdr:colOff>544397</xdr:colOff>
      <xdr:row>32</xdr:row>
      <xdr:rowOff>111105</xdr:rowOff>
    </xdr:to>
    <xdr:sp macro="" textlink="Sheet1!C30">
      <xdr:nvSpPr>
        <xdr:cNvPr id="60" name="TextBox 59">
          <a:extLst>
            <a:ext uri="{FF2B5EF4-FFF2-40B4-BE49-F238E27FC236}">
              <a16:creationId xmlns:a16="http://schemas.microsoft.com/office/drawing/2014/main" id="{3CC931D5-58FB-4E92-99EA-F0B2C9138301}"/>
            </a:ext>
          </a:extLst>
        </xdr:cNvPr>
        <xdr:cNvSpPr txBox="1"/>
      </xdr:nvSpPr>
      <xdr:spPr>
        <a:xfrm>
          <a:off x="2686045" y="5707744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9DA521A-3836-45B7-90AD-B316D5309A36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Top Location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32</xdr:row>
      <xdr:rowOff>52185</xdr:rowOff>
    </xdr:from>
    <xdr:to>
      <xdr:col>5</xdr:col>
      <xdr:colOff>541678</xdr:colOff>
      <xdr:row>33</xdr:row>
      <xdr:rowOff>79831</xdr:rowOff>
    </xdr:to>
    <xdr:sp macro="" textlink="Sheet1!D30">
      <xdr:nvSpPr>
        <xdr:cNvPr id="61" name="TextBox 60">
          <a:extLst>
            <a:ext uri="{FF2B5EF4-FFF2-40B4-BE49-F238E27FC236}">
              <a16:creationId xmlns:a16="http://schemas.microsoft.com/office/drawing/2014/main" id="{4E3D326D-FDDE-4025-A3DC-D2B66E77CC9B}"/>
            </a:ext>
          </a:extLst>
        </xdr:cNvPr>
        <xdr:cNvSpPr txBox="1"/>
      </xdr:nvSpPr>
      <xdr:spPr>
        <a:xfrm>
          <a:off x="2683326" y="5857899"/>
          <a:ext cx="897281" cy="20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32F34E3-41F9-4CF5-8942-76047CC92CFE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Japan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317500</xdr:colOff>
      <xdr:row>7</xdr:row>
      <xdr:rowOff>18142</xdr:rowOff>
    </xdr:from>
    <xdr:to>
      <xdr:col>12</xdr:col>
      <xdr:colOff>480785</xdr:colOff>
      <xdr:row>20</xdr:row>
      <xdr:rowOff>136071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BF845DE8-8201-478D-95FB-43B8B5505EE8}"/>
            </a:ext>
          </a:extLst>
        </xdr:cNvPr>
        <xdr:cNvSpPr/>
      </xdr:nvSpPr>
      <xdr:spPr>
        <a:xfrm>
          <a:off x="3964214" y="1288142"/>
          <a:ext cx="3810000" cy="24765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353786</xdr:colOff>
      <xdr:row>9</xdr:row>
      <xdr:rowOff>36286</xdr:rowOff>
    </xdr:from>
    <xdr:to>
      <xdr:col>12</xdr:col>
      <xdr:colOff>480785</xdr:colOff>
      <xdr:row>20</xdr:row>
      <xdr:rowOff>117928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99A4C170-12B2-4BEC-918C-685E2D937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335643</xdr:colOff>
      <xdr:row>7</xdr:row>
      <xdr:rowOff>72571</xdr:rowOff>
    </xdr:from>
    <xdr:to>
      <xdr:col>9</xdr:col>
      <xdr:colOff>235858</xdr:colOff>
      <xdr:row>8</xdr:row>
      <xdr:rowOff>117928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1803A83-1C1E-45C9-930F-DF96419C5A92}"/>
            </a:ext>
          </a:extLst>
        </xdr:cNvPr>
        <xdr:cNvSpPr txBox="1"/>
      </xdr:nvSpPr>
      <xdr:spPr>
        <a:xfrm>
          <a:off x="3982357" y="1342571"/>
          <a:ext cx="1723572" cy="226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Visits &amp; Page Views</a:t>
          </a:r>
        </a:p>
      </xdr:txBody>
    </xdr:sp>
    <xdr:clientData/>
  </xdr:twoCellAnchor>
  <xdr:twoCellAnchor>
    <xdr:from>
      <xdr:col>13</xdr:col>
      <xdr:colOff>143329</xdr:colOff>
      <xdr:row>7</xdr:row>
      <xdr:rowOff>25399</xdr:rowOff>
    </xdr:from>
    <xdr:to>
      <xdr:col>19</xdr:col>
      <xdr:colOff>306614</xdr:colOff>
      <xdr:row>20</xdr:row>
      <xdr:rowOff>143328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4BF274F6-39B3-49B7-ADE5-978A39839CE7}"/>
            </a:ext>
          </a:extLst>
        </xdr:cNvPr>
        <xdr:cNvSpPr/>
      </xdr:nvSpPr>
      <xdr:spPr>
        <a:xfrm>
          <a:off x="7903029" y="1269999"/>
          <a:ext cx="3744685" cy="242932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161472</xdr:colOff>
      <xdr:row>7</xdr:row>
      <xdr:rowOff>79828</xdr:rowOff>
    </xdr:from>
    <xdr:to>
      <xdr:col>16</xdr:col>
      <xdr:colOff>61687</xdr:colOff>
      <xdr:row>8</xdr:row>
      <xdr:rowOff>125185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303D7FA-43AD-427E-BE50-6E75E04FD78C}"/>
            </a:ext>
          </a:extLst>
        </xdr:cNvPr>
        <xdr:cNvSpPr txBox="1"/>
      </xdr:nvSpPr>
      <xdr:spPr>
        <a:xfrm>
          <a:off x="7921172" y="1324428"/>
          <a:ext cx="1690915" cy="2231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Bounce &amp;</a:t>
          </a:r>
          <a:r>
            <a:rPr lang="en-IN" sz="900" b="1" i="0" u="none" strike="noStrike" baseline="0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 Exit Rate</a:t>
          </a:r>
          <a:endParaRPr lang="en-IN" sz="9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13</xdr:col>
      <xdr:colOff>136072</xdr:colOff>
      <xdr:row>8</xdr:row>
      <xdr:rowOff>90714</xdr:rowOff>
    </xdr:from>
    <xdr:to>
      <xdr:col>19</xdr:col>
      <xdr:colOff>299357</xdr:colOff>
      <xdr:row>20</xdr:row>
      <xdr:rowOff>154214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3FC33AE5-B55D-410C-A529-361B9774B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306614</xdr:colOff>
      <xdr:row>21</xdr:row>
      <xdr:rowOff>125185</xdr:rowOff>
    </xdr:from>
    <xdr:to>
      <xdr:col>12</xdr:col>
      <xdr:colOff>469899</xdr:colOff>
      <xdr:row>35</xdr:row>
      <xdr:rowOff>61685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DCC1E609-F0A5-44D3-9F3B-0353A7969705}"/>
            </a:ext>
          </a:extLst>
        </xdr:cNvPr>
        <xdr:cNvSpPr/>
      </xdr:nvSpPr>
      <xdr:spPr>
        <a:xfrm>
          <a:off x="3953328" y="3935185"/>
          <a:ext cx="3810000" cy="24765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324757</xdr:colOff>
      <xdr:row>21</xdr:row>
      <xdr:rowOff>179614</xdr:rowOff>
    </xdr:from>
    <xdr:to>
      <xdr:col>9</xdr:col>
      <xdr:colOff>224972</xdr:colOff>
      <xdr:row>23</xdr:row>
      <xdr:rowOff>43543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CEFBEEE-D545-49BC-B4B8-A08B180DFAF0}"/>
            </a:ext>
          </a:extLst>
        </xdr:cNvPr>
        <xdr:cNvSpPr txBox="1"/>
      </xdr:nvSpPr>
      <xdr:spPr>
        <a:xfrm>
          <a:off x="3971471" y="3989614"/>
          <a:ext cx="1723572" cy="226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Organic Vs. Paid</a:t>
          </a:r>
        </a:p>
      </xdr:txBody>
    </xdr:sp>
    <xdr:clientData/>
  </xdr:twoCellAnchor>
  <xdr:twoCellAnchor>
    <xdr:from>
      <xdr:col>6</xdr:col>
      <xdr:colOff>264887</xdr:colOff>
      <xdr:row>23</xdr:row>
      <xdr:rowOff>0</xdr:rowOff>
    </xdr:from>
    <xdr:to>
      <xdr:col>12</xdr:col>
      <xdr:colOff>489856</xdr:colOff>
      <xdr:row>35</xdr:row>
      <xdr:rowOff>99786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C6AF6342-3166-48B2-A777-333A765BE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</xdr:col>
      <xdr:colOff>141514</xdr:colOff>
      <xdr:row>21</xdr:row>
      <xdr:rowOff>132442</xdr:rowOff>
    </xdr:from>
    <xdr:to>
      <xdr:col>19</xdr:col>
      <xdr:colOff>304799</xdr:colOff>
      <xdr:row>35</xdr:row>
      <xdr:rowOff>68942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3576B588-36AA-4853-BC78-30A173B8943D}"/>
            </a:ext>
          </a:extLst>
        </xdr:cNvPr>
        <xdr:cNvSpPr/>
      </xdr:nvSpPr>
      <xdr:spPr>
        <a:xfrm>
          <a:off x="8042728" y="3942442"/>
          <a:ext cx="3810000" cy="24765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161472</xdr:colOff>
      <xdr:row>21</xdr:row>
      <xdr:rowOff>179614</xdr:rowOff>
    </xdr:from>
    <xdr:to>
      <xdr:col>16</xdr:col>
      <xdr:colOff>423334</xdr:colOff>
      <xdr:row>23</xdr:row>
      <xdr:rowOff>52917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51C4E7B3-1F62-4BAE-BABE-0E29040DD879}"/>
            </a:ext>
          </a:extLst>
        </xdr:cNvPr>
        <xdr:cNvSpPr txBox="1"/>
      </xdr:nvSpPr>
      <xdr:spPr>
        <a:xfrm>
          <a:off x="8141305" y="3957864"/>
          <a:ext cx="2103362" cy="233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Direct Vs. Social Vs. Referral</a:t>
          </a:r>
        </a:p>
      </xdr:txBody>
    </xdr:sp>
    <xdr:clientData/>
  </xdr:twoCellAnchor>
  <xdr:twoCellAnchor>
    <xdr:from>
      <xdr:col>13</xdr:col>
      <xdr:colOff>154214</xdr:colOff>
      <xdr:row>23</xdr:row>
      <xdr:rowOff>99785</xdr:rowOff>
    </xdr:from>
    <xdr:to>
      <xdr:col>19</xdr:col>
      <xdr:colOff>263071</xdr:colOff>
      <xdr:row>35</xdr:row>
      <xdr:rowOff>99785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BAAA207B-41C3-40A5-A1CD-804F53BC0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19</xdr:col>
      <xdr:colOff>576941</xdr:colOff>
      <xdr:row>7</xdr:row>
      <xdr:rowOff>14513</xdr:rowOff>
    </xdr:from>
    <xdr:to>
      <xdr:col>26</xdr:col>
      <xdr:colOff>326570</xdr:colOff>
      <xdr:row>35</xdr:row>
      <xdr:rowOff>72570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91E6D1FF-9B18-47E8-9D30-8013AD1AF34F}"/>
            </a:ext>
          </a:extLst>
        </xdr:cNvPr>
        <xdr:cNvSpPr/>
      </xdr:nvSpPr>
      <xdr:spPr>
        <a:xfrm>
          <a:off x="12239774" y="1273930"/>
          <a:ext cx="4046463" cy="509572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595085</xdr:colOff>
      <xdr:row>7</xdr:row>
      <xdr:rowOff>68943</xdr:rowOff>
    </xdr:from>
    <xdr:to>
      <xdr:col>22</xdr:col>
      <xdr:colOff>495300</xdr:colOff>
      <xdr:row>8</xdr:row>
      <xdr:rowOff>114300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B052FC8-BFD0-449C-89D6-97EA05F5F750}"/>
            </a:ext>
          </a:extLst>
        </xdr:cNvPr>
        <xdr:cNvSpPr txBox="1"/>
      </xdr:nvSpPr>
      <xdr:spPr>
        <a:xfrm>
          <a:off x="12143014" y="1338943"/>
          <a:ext cx="1723572" cy="226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Geographic</a:t>
          </a:r>
        </a:p>
      </xdr:txBody>
    </xdr:sp>
    <xdr:clientData/>
  </xdr:twoCellAnchor>
  <xdr:twoCellAnchor>
    <xdr:from>
      <xdr:col>20</xdr:col>
      <xdr:colOff>172357</xdr:colOff>
      <xdr:row>10</xdr:row>
      <xdr:rowOff>74083</xdr:rowOff>
    </xdr:from>
    <xdr:to>
      <xdr:col>26</xdr:col>
      <xdr:colOff>226785</xdr:colOff>
      <xdr:row>34</xdr:row>
      <xdr:rowOff>0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B537E0BD-5180-4EA8-846A-FFB402D19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22</xdr:col>
      <xdr:colOff>117928</xdr:colOff>
      <xdr:row>19</xdr:row>
      <xdr:rowOff>176890</xdr:rowOff>
    </xdr:from>
    <xdr:to>
      <xdr:col>24</xdr:col>
      <xdr:colOff>281214</xdr:colOff>
      <xdr:row>23</xdr:row>
      <xdr:rowOff>24189</xdr:rowOff>
    </xdr:to>
    <xdr:sp macro="" textlink="Sheet1!H22">
      <xdr:nvSpPr>
        <xdr:cNvPr id="81" name="TextBox 80">
          <a:extLst>
            <a:ext uri="{FF2B5EF4-FFF2-40B4-BE49-F238E27FC236}">
              <a16:creationId xmlns:a16="http://schemas.microsoft.com/office/drawing/2014/main" id="{1F18BC4A-9911-4D67-B4EE-17DF50D980FC}"/>
            </a:ext>
          </a:extLst>
        </xdr:cNvPr>
        <xdr:cNvSpPr txBox="1"/>
      </xdr:nvSpPr>
      <xdr:spPr>
        <a:xfrm>
          <a:off x="13249728" y="3555090"/>
          <a:ext cx="1357086" cy="558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DEA691D-662C-4728-AA60-832046A27461}" type="TxLink">
            <a:rPr lang="en-US" sz="900" b="1" i="0" u="none" strike="noStrike">
              <a:solidFill>
                <a:srgbClr val="390058"/>
              </a:solidFill>
              <a:latin typeface="Montserrat"/>
              <a:cs typeface="Calibri"/>
            </a:rPr>
            <a:pPr algn="ctr"/>
            <a:t>Japan</a:t>
          </a:fld>
          <a:endParaRPr lang="en-IN" sz="10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22</xdr:col>
      <xdr:colOff>125185</xdr:colOff>
      <xdr:row>21</xdr:row>
      <xdr:rowOff>7261</xdr:rowOff>
    </xdr:from>
    <xdr:to>
      <xdr:col>24</xdr:col>
      <xdr:colOff>288471</xdr:colOff>
      <xdr:row>24</xdr:row>
      <xdr:rowOff>34475</xdr:rowOff>
    </xdr:to>
    <xdr:sp macro="" textlink="Sheet1!I22">
      <xdr:nvSpPr>
        <xdr:cNvPr id="82" name="TextBox 81">
          <a:extLst>
            <a:ext uri="{FF2B5EF4-FFF2-40B4-BE49-F238E27FC236}">
              <a16:creationId xmlns:a16="http://schemas.microsoft.com/office/drawing/2014/main" id="{D3769E78-A8B4-4D01-B650-1E9A3875FD16}"/>
            </a:ext>
          </a:extLst>
        </xdr:cNvPr>
        <xdr:cNvSpPr txBox="1"/>
      </xdr:nvSpPr>
      <xdr:spPr>
        <a:xfrm>
          <a:off x="13256985" y="3741061"/>
          <a:ext cx="1357086" cy="5606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50AAAD-319F-4DCB-A267-A1A6D79DA003}" type="TxLink">
            <a:rPr lang="en-US" sz="1200" b="1" i="0" u="none" strike="noStrike">
              <a:solidFill>
                <a:srgbClr val="000000"/>
              </a:solidFill>
              <a:latin typeface="Montserrat"/>
              <a:cs typeface="Calibri"/>
            </a:rPr>
            <a:pPr algn="ctr"/>
            <a:t>34000</a:t>
          </a:fld>
          <a:endParaRPr lang="en-IN" sz="20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132745</xdr:colOff>
      <xdr:row>36</xdr:row>
      <xdr:rowOff>133350</xdr:rowOff>
    </xdr:from>
    <xdr:to>
      <xdr:col>11</xdr:col>
      <xdr:colOff>226508</xdr:colOff>
      <xdr:row>41</xdr:row>
      <xdr:rowOff>173869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389D211A-A1AC-4E1B-928C-041DD513D71A}"/>
            </a:ext>
          </a:extLst>
        </xdr:cNvPr>
        <xdr:cNvSpPr/>
      </xdr:nvSpPr>
      <xdr:spPr>
        <a:xfrm>
          <a:off x="2520345" y="6534150"/>
          <a:ext cx="4272063" cy="92951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479865</xdr:colOff>
      <xdr:row>36</xdr:row>
      <xdr:rowOff>133350</xdr:rowOff>
    </xdr:from>
    <xdr:to>
      <xdr:col>18</xdr:col>
      <xdr:colOff>573629</xdr:colOff>
      <xdr:row>41</xdr:row>
      <xdr:rowOff>173869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97913A4F-63F0-4524-980D-E8BF445991DA}"/>
            </a:ext>
          </a:extLst>
        </xdr:cNvPr>
        <xdr:cNvSpPr/>
      </xdr:nvSpPr>
      <xdr:spPr>
        <a:xfrm>
          <a:off x="7045765" y="6534150"/>
          <a:ext cx="4272064" cy="92951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213153</xdr:colOff>
      <xdr:row>36</xdr:row>
      <xdr:rowOff>133350</xdr:rowOff>
    </xdr:from>
    <xdr:to>
      <xdr:col>26</xdr:col>
      <xdr:colOff>306916</xdr:colOff>
      <xdr:row>41</xdr:row>
      <xdr:rowOff>173869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B2EF6637-C5FC-478A-8150-D5933CE17CC4}"/>
            </a:ext>
          </a:extLst>
        </xdr:cNvPr>
        <xdr:cNvSpPr/>
      </xdr:nvSpPr>
      <xdr:spPr>
        <a:xfrm>
          <a:off x="11875986" y="6610350"/>
          <a:ext cx="4390597" cy="94010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19</xdr:col>
      <xdr:colOff>306917</xdr:colOff>
      <xdr:row>38</xdr:row>
      <xdr:rowOff>45568</xdr:rowOff>
    </xdr:from>
    <xdr:to>
      <xdr:col>20</xdr:col>
      <xdr:colOff>89083</xdr:colOff>
      <xdr:row>40</xdr:row>
      <xdr:rowOff>81734</xdr:rowOff>
    </xdr:to>
    <xdr:pic>
      <xdr:nvPicPr>
        <xdr:cNvPr id="88" name="Graphic 87" descr="Downward trend graph">
          <a:extLst>
            <a:ext uri="{FF2B5EF4-FFF2-40B4-BE49-F238E27FC236}">
              <a16:creationId xmlns:a16="http://schemas.microsoft.com/office/drawing/2014/main" id="{C0D191DB-43E1-4DF1-8CAD-6A3C50005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969750" y="6882401"/>
          <a:ext cx="396000" cy="396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594500</xdr:colOff>
      <xdr:row>38</xdr:row>
      <xdr:rowOff>45568</xdr:rowOff>
    </xdr:from>
    <xdr:to>
      <xdr:col>12</xdr:col>
      <xdr:colOff>376667</xdr:colOff>
      <xdr:row>40</xdr:row>
      <xdr:rowOff>81734</xdr:rowOff>
    </xdr:to>
    <xdr:pic>
      <xdr:nvPicPr>
        <xdr:cNvPr id="90" name="Graphic 89" descr="Hierarchy">
          <a:extLst>
            <a:ext uri="{FF2B5EF4-FFF2-40B4-BE49-F238E27FC236}">
              <a16:creationId xmlns:a16="http://schemas.microsoft.com/office/drawing/2014/main" id="{A012BB74-B78A-4B33-BB3A-96F9CF6FF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7346667" y="6882401"/>
          <a:ext cx="396000" cy="3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236501</xdr:colOff>
      <xdr:row>38</xdr:row>
      <xdr:rowOff>45568</xdr:rowOff>
    </xdr:from>
    <xdr:to>
      <xdr:col>5</xdr:col>
      <xdr:colOff>18667</xdr:colOff>
      <xdr:row>40</xdr:row>
      <xdr:rowOff>81734</xdr:rowOff>
    </xdr:to>
    <xdr:pic>
      <xdr:nvPicPr>
        <xdr:cNvPr id="92" name="Graphic 91" descr="Pie chart">
          <a:extLst>
            <a:ext uri="{FF2B5EF4-FFF2-40B4-BE49-F238E27FC236}">
              <a16:creationId xmlns:a16="http://schemas.microsoft.com/office/drawing/2014/main" id="{138661A3-94C2-4826-9E8E-412DED974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691834" y="6882401"/>
          <a:ext cx="396000" cy="396000"/>
        </a:xfrm>
        <a:prstGeom prst="rect">
          <a:avLst/>
        </a:prstGeom>
      </xdr:spPr>
    </xdr:pic>
    <xdr:clientData/>
  </xdr:twoCellAnchor>
  <xdr:twoCellAnchor>
    <xdr:from>
      <xdr:col>5</xdr:col>
      <xdr:colOff>148166</xdr:colOff>
      <xdr:row>37</xdr:row>
      <xdr:rowOff>169484</xdr:rowOff>
    </xdr:from>
    <xdr:to>
      <xdr:col>11</xdr:col>
      <xdr:colOff>127000</xdr:colOff>
      <xdr:row>40</xdr:row>
      <xdr:rowOff>137734</xdr:rowOff>
    </xdr:to>
    <xdr:sp macro="" textlink="Sheet1!C34">
      <xdr:nvSpPr>
        <xdr:cNvPr id="95" name="TextBox 94">
          <a:extLst>
            <a:ext uri="{FF2B5EF4-FFF2-40B4-BE49-F238E27FC236}">
              <a16:creationId xmlns:a16="http://schemas.microsoft.com/office/drawing/2014/main" id="{A2816A35-9C18-4B03-A3EC-3673038F55DE}"/>
            </a:ext>
          </a:extLst>
        </xdr:cNvPr>
        <xdr:cNvSpPr txBox="1"/>
      </xdr:nvSpPr>
      <xdr:spPr>
        <a:xfrm>
          <a:off x="3132666" y="6748084"/>
          <a:ext cx="3560234" cy="501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12</xdr:col>
      <xdr:colOff>501650</xdr:colOff>
      <xdr:row>37</xdr:row>
      <xdr:rowOff>169484</xdr:rowOff>
    </xdr:from>
    <xdr:to>
      <xdr:col>18</xdr:col>
      <xdr:colOff>480484</xdr:colOff>
      <xdr:row>40</xdr:row>
      <xdr:rowOff>137734</xdr:rowOff>
    </xdr:to>
    <xdr:sp macro="" textlink="Sheet1!C34">
      <xdr:nvSpPr>
        <xdr:cNvPr id="96" name="TextBox 95">
          <a:extLst>
            <a:ext uri="{FF2B5EF4-FFF2-40B4-BE49-F238E27FC236}">
              <a16:creationId xmlns:a16="http://schemas.microsoft.com/office/drawing/2014/main" id="{D573E141-009D-4B26-BBB4-EDFA822015F7}"/>
            </a:ext>
          </a:extLst>
        </xdr:cNvPr>
        <xdr:cNvSpPr txBox="1"/>
      </xdr:nvSpPr>
      <xdr:spPr>
        <a:xfrm>
          <a:off x="7867650" y="6826401"/>
          <a:ext cx="3661834" cy="5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20</xdr:col>
      <xdr:colOff>177800</xdr:colOff>
      <xdr:row>37</xdr:row>
      <xdr:rowOff>169484</xdr:rowOff>
    </xdr:from>
    <xdr:to>
      <xdr:col>26</xdr:col>
      <xdr:colOff>156634</xdr:colOff>
      <xdr:row>40</xdr:row>
      <xdr:rowOff>137734</xdr:rowOff>
    </xdr:to>
    <xdr:sp macro="" textlink="Sheet1!C34">
      <xdr:nvSpPr>
        <xdr:cNvPr id="97" name="TextBox 96">
          <a:extLst>
            <a:ext uri="{FF2B5EF4-FFF2-40B4-BE49-F238E27FC236}">
              <a16:creationId xmlns:a16="http://schemas.microsoft.com/office/drawing/2014/main" id="{62920DDB-289E-4DFB-83F8-3CA0565397E1}"/>
            </a:ext>
          </a:extLst>
        </xdr:cNvPr>
        <xdr:cNvSpPr txBox="1"/>
      </xdr:nvSpPr>
      <xdr:spPr>
        <a:xfrm>
          <a:off x="12115800" y="6748084"/>
          <a:ext cx="3560234" cy="501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6</xdr:col>
      <xdr:colOff>445787</xdr:colOff>
      <xdr:row>8</xdr:row>
      <xdr:rowOff>152927</xdr:rowOff>
    </xdr:from>
    <xdr:to>
      <xdr:col>7</xdr:col>
      <xdr:colOff>188930</xdr:colOff>
      <xdr:row>9</xdr:row>
      <xdr:rowOff>9010</xdr:rowOff>
    </xdr:to>
    <xdr:sp macro="" textlink="">
      <xdr:nvSpPr>
        <xdr:cNvPr id="98" name="Rectangle: Rounded Corners 97">
          <a:extLst>
            <a:ext uri="{FF2B5EF4-FFF2-40B4-BE49-F238E27FC236}">
              <a16:creationId xmlns:a16="http://schemas.microsoft.com/office/drawing/2014/main" id="{1AFC1F52-7792-4FC1-A8D8-33A9AF1235FE}"/>
            </a:ext>
          </a:extLst>
        </xdr:cNvPr>
        <xdr:cNvSpPr/>
      </xdr:nvSpPr>
      <xdr:spPr>
        <a:xfrm rot="5400000">
          <a:off x="4289275" y="1431772"/>
          <a:ext cx="36000" cy="356976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428854</xdr:colOff>
      <xdr:row>23</xdr:row>
      <xdr:rowOff>83077</xdr:rowOff>
    </xdr:from>
    <xdr:to>
      <xdr:col>7</xdr:col>
      <xdr:colOff>171997</xdr:colOff>
      <xdr:row>23</xdr:row>
      <xdr:rowOff>119077</xdr:rowOff>
    </xdr:to>
    <xdr:sp macro="" textlink="">
      <xdr:nvSpPr>
        <xdr:cNvPr id="99" name="Rectangle: Rounded Corners 98">
          <a:extLst>
            <a:ext uri="{FF2B5EF4-FFF2-40B4-BE49-F238E27FC236}">
              <a16:creationId xmlns:a16="http://schemas.microsoft.com/office/drawing/2014/main" id="{6E031A8C-E539-44F4-AF91-A7A379EF6227}"/>
            </a:ext>
          </a:extLst>
        </xdr:cNvPr>
        <xdr:cNvSpPr/>
      </xdr:nvSpPr>
      <xdr:spPr>
        <a:xfrm rot="5400000">
          <a:off x="4272342" y="4060672"/>
          <a:ext cx="36000" cy="356976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274338</xdr:colOff>
      <xdr:row>23</xdr:row>
      <xdr:rowOff>87310</xdr:rowOff>
    </xdr:from>
    <xdr:to>
      <xdr:col>14</xdr:col>
      <xdr:colOff>17480</xdr:colOff>
      <xdr:row>23</xdr:row>
      <xdr:rowOff>123310</xdr:rowOff>
    </xdr:to>
    <xdr:sp macro="" textlink="">
      <xdr:nvSpPr>
        <xdr:cNvPr id="100" name="Rectangle: Rounded Corners 99">
          <a:extLst>
            <a:ext uri="{FF2B5EF4-FFF2-40B4-BE49-F238E27FC236}">
              <a16:creationId xmlns:a16="http://schemas.microsoft.com/office/drawing/2014/main" id="{BC50AECB-D3BB-41D3-9896-47B09FE9DE59}"/>
            </a:ext>
          </a:extLst>
        </xdr:cNvPr>
        <xdr:cNvSpPr/>
      </xdr:nvSpPr>
      <xdr:spPr>
        <a:xfrm rot="5400000">
          <a:off x="8414659" y="4064905"/>
          <a:ext cx="36000" cy="356976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289155</xdr:colOff>
      <xdr:row>8</xdr:row>
      <xdr:rowOff>152927</xdr:rowOff>
    </xdr:from>
    <xdr:to>
      <xdr:col>14</xdr:col>
      <xdr:colOff>32297</xdr:colOff>
      <xdr:row>9</xdr:row>
      <xdr:rowOff>9010</xdr:rowOff>
    </xdr:to>
    <xdr:sp macro="" textlink="">
      <xdr:nvSpPr>
        <xdr:cNvPr id="101" name="Rectangle: Rounded Corners 100">
          <a:extLst>
            <a:ext uri="{FF2B5EF4-FFF2-40B4-BE49-F238E27FC236}">
              <a16:creationId xmlns:a16="http://schemas.microsoft.com/office/drawing/2014/main" id="{80364958-73ED-4CB6-9990-E966692FF1B5}"/>
            </a:ext>
          </a:extLst>
        </xdr:cNvPr>
        <xdr:cNvSpPr/>
      </xdr:nvSpPr>
      <xdr:spPr>
        <a:xfrm rot="5400000">
          <a:off x="8429476" y="1431772"/>
          <a:ext cx="36000" cy="356976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81721</xdr:colOff>
      <xdr:row>8</xdr:row>
      <xdr:rowOff>152927</xdr:rowOff>
    </xdr:from>
    <xdr:to>
      <xdr:col>20</xdr:col>
      <xdr:colOff>438697</xdr:colOff>
      <xdr:row>9</xdr:row>
      <xdr:rowOff>9010</xdr:rowOff>
    </xdr:to>
    <xdr:sp macro="" textlink="">
      <xdr:nvSpPr>
        <xdr:cNvPr id="102" name="Rectangle: Rounded Corners 101">
          <a:extLst>
            <a:ext uri="{FF2B5EF4-FFF2-40B4-BE49-F238E27FC236}">
              <a16:creationId xmlns:a16="http://schemas.microsoft.com/office/drawing/2014/main" id="{41C8271A-7EC2-4029-8FBE-5861F0BCC92B}"/>
            </a:ext>
          </a:extLst>
        </xdr:cNvPr>
        <xdr:cNvSpPr/>
      </xdr:nvSpPr>
      <xdr:spPr>
        <a:xfrm rot="5400000">
          <a:off x="12518876" y="1431772"/>
          <a:ext cx="36000" cy="356976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225608</xdr:colOff>
      <xdr:row>7</xdr:row>
      <xdr:rowOff>158422</xdr:rowOff>
    </xdr:from>
    <xdr:to>
      <xdr:col>12</xdr:col>
      <xdr:colOff>362710</xdr:colOff>
      <xdr:row>30</xdr:row>
      <xdr:rowOff>161494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EC3C721F-CA9E-4D8C-99D8-F27B3E3854C5}"/>
            </a:ext>
          </a:extLst>
        </xdr:cNvPr>
        <xdr:cNvSpPr/>
      </xdr:nvSpPr>
      <xdr:spPr>
        <a:xfrm>
          <a:off x="225608" y="1447472"/>
          <a:ext cx="7452302" cy="4238522"/>
        </a:xfrm>
        <a:custGeom>
          <a:avLst/>
          <a:gdLst>
            <a:gd name="connsiteX0" fmla="*/ 10249 w 7430531"/>
            <a:gd name="connsiteY0" fmla="*/ 3842078 h 4175929"/>
            <a:gd name="connsiteX1" fmla="*/ 717821 w 7430531"/>
            <a:gd name="connsiteY1" fmla="*/ 1202292 h 4175929"/>
            <a:gd name="connsiteX2" fmla="*/ 4137749 w 7430531"/>
            <a:gd name="connsiteY2" fmla="*/ 13935 h 4175929"/>
            <a:gd name="connsiteX3" fmla="*/ 7294606 w 7430531"/>
            <a:gd name="connsiteY3" fmla="*/ 1918935 h 4175929"/>
            <a:gd name="connsiteX4" fmla="*/ 6260463 w 7430531"/>
            <a:gd name="connsiteY4" fmla="*/ 3524578 h 4175929"/>
            <a:gd name="connsiteX5" fmla="*/ 971821 w 7430531"/>
            <a:gd name="connsiteY5" fmla="*/ 4105149 h 4175929"/>
            <a:gd name="connsiteX6" fmla="*/ 10249 w 7430531"/>
            <a:gd name="connsiteY6" fmla="*/ 3842078 h 4175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7430531" h="4175929">
              <a:moveTo>
                <a:pt x="10249" y="3842078"/>
              </a:moveTo>
              <a:cubicBezTo>
                <a:pt x="-32084" y="3358268"/>
                <a:pt x="29904" y="1840316"/>
                <a:pt x="717821" y="1202292"/>
              </a:cubicBezTo>
              <a:cubicBezTo>
                <a:pt x="1405738" y="564268"/>
                <a:pt x="3041618" y="-105506"/>
                <a:pt x="4137749" y="13935"/>
              </a:cubicBezTo>
              <a:cubicBezTo>
                <a:pt x="5233880" y="133375"/>
                <a:pt x="6940820" y="1333828"/>
                <a:pt x="7294606" y="1918935"/>
              </a:cubicBezTo>
              <a:cubicBezTo>
                <a:pt x="7648392" y="2504042"/>
                <a:pt x="7314261" y="3160209"/>
                <a:pt x="6260463" y="3524578"/>
              </a:cubicBezTo>
              <a:cubicBezTo>
                <a:pt x="5206666" y="3888947"/>
                <a:pt x="2008988" y="4053744"/>
                <a:pt x="971821" y="4105149"/>
              </a:cubicBezTo>
              <a:cubicBezTo>
                <a:pt x="-65346" y="4156554"/>
                <a:pt x="52582" y="4325888"/>
                <a:pt x="10249" y="3842078"/>
              </a:cubicBezTo>
              <a:close/>
            </a:path>
          </a:pathLst>
        </a:custGeom>
        <a:solidFill>
          <a:srgbClr val="9966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171743</xdr:colOff>
      <xdr:row>9</xdr:row>
      <xdr:rowOff>10798</xdr:rowOff>
    </xdr:from>
    <xdr:to>
      <xdr:col>31</xdr:col>
      <xdr:colOff>366281</xdr:colOff>
      <xdr:row>46</xdr:row>
      <xdr:rowOff>40240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DF665B28-CBA0-4252-88DB-0AFF534F5BA6}"/>
            </a:ext>
          </a:extLst>
        </xdr:cNvPr>
        <xdr:cNvSpPr/>
      </xdr:nvSpPr>
      <xdr:spPr>
        <a:xfrm rot="9557275">
          <a:off x="8706143" y="1668148"/>
          <a:ext cx="10557738" cy="6842992"/>
        </a:xfrm>
        <a:custGeom>
          <a:avLst/>
          <a:gdLst>
            <a:gd name="connsiteX0" fmla="*/ 10249 w 7430531"/>
            <a:gd name="connsiteY0" fmla="*/ 3842078 h 4175929"/>
            <a:gd name="connsiteX1" fmla="*/ 717821 w 7430531"/>
            <a:gd name="connsiteY1" fmla="*/ 1202292 h 4175929"/>
            <a:gd name="connsiteX2" fmla="*/ 4137749 w 7430531"/>
            <a:gd name="connsiteY2" fmla="*/ 13935 h 4175929"/>
            <a:gd name="connsiteX3" fmla="*/ 7294606 w 7430531"/>
            <a:gd name="connsiteY3" fmla="*/ 1918935 h 4175929"/>
            <a:gd name="connsiteX4" fmla="*/ 6260463 w 7430531"/>
            <a:gd name="connsiteY4" fmla="*/ 3524578 h 4175929"/>
            <a:gd name="connsiteX5" fmla="*/ 971821 w 7430531"/>
            <a:gd name="connsiteY5" fmla="*/ 4105149 h 4175929"/>
            <a:gd name="connsiteX6" fmla="*/ 10249 w 7430531"/>
            <a:gd name="connsiteY6" fmla="*/ 3842078 h 4175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7430531" h="4175929">
              <a:moveTo>
                <a:pt x="10249" y="3842078"/>
              </a:moveTo>
              <a:cubicBezTo>
                <a:pt x="-32084" y="3358268"/>
                <a:pt x="29904" y="1840316"/>
                <a:pt x="717821" y="1202292"/>
              </a:cubicBezTo>
              <a:cubicBezTo>
                <a:pt x="1405738" y="564268"/>
                <a:pt x="3041618" y="-105506"/>
                <a:pt x="4137749" y="13935"/>
              </a:cubicBezTo>
              <a:cubicBezTo>
                <a:pt x="5233880" y="133375"/>
                <a:pt x="6940820" y="1333828"/>
                <a:pt x="7294606" y="1918935"/>
              </a:cubicBezTo>
              <a:cubicBezTo>
                <a:pt x="7648392" y="2504042"/>
                <a:pt x="7314261" y="3160209"/>
                <a:pt x="6260463" y="3524578"/>
              </a:cubicBezTo>
              <a:cubicBezTo>
                <a:pt x="5206666" y="3888947"/>
                <a:pt x="2008988" y="4053744"/>
                <a:pt x="971821" y="4105149"/>
              </a:cubicBezTo>
              <a:cubicBezTo>
                <a:pt x="-65346" y="4156554"/>
                <a:pt x="52582" y="4325888"/>
                <a:pt x="10249" y="3842078"/>
              </a:cubicBezTo>
              <a:close/>
            </a:path>
          </a:pathLst>
        </a:cu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254000</xdr:colOff>
      <xdr:row>2</xdr:row>
      <xdr:rowOff>136070</xdr:rowOff>
    </xdr:from>
    <xdr:to>
      <xdr:col>27</xdr:col>
      <xdr:colOff>181428</xdr:colOff>
      <xdr:row>43</xdr:row>
      <xdr:rowOff>95249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DD12B34-EB83-4120-8FCD-FC4C69674BC1}"/>
            </a:ext>
          </a:extLst>
        </xdr:cNvPr>
        <xdr:cNvSpPr/>
      </xdr:nvSpPr>
      <xdr:spPr>
        <a:xfrm>
          <a:off x="1473200" y="504370"/>
          <a:ext cx="15167428" cy="750932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255815</xdr:colOff>
      <xdr:row>5</xdr:row>
      <xdr:rowOff>157539</xdr:rowOff>
    </xdr:from>
    <xdr:to>
      <xdr:col>27</xdr:col>
      <xdr:colOff>181428</xdr:colOff>
      <xdr:row>43</xdr:row>
      <xdr:rowOff>95249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12FA31-F0FD-4999-B68F-4813E7EAB078}"/>
            </a:ext>
          </a:extLst>
        </xdr:cNvPr>
        <xdr:cNvSpPr/>
      </xdr:nvSpPr>
      <xdr:spPr>
        <a:xfrm>
          <a:off x="2084615" y="1078289"/>
          <a:ext cx="14556013" cy="693541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381000</xdr:colOff>
      <xdr:row>14</xdr:row>
      <xdr:rowOff>89199</xdr:rowOff>
    </xdr:from>
    <xdr:to>
      <xdr:col>3</xdr:col>
      <xdr:colOff>117930</xdr:colOff>
      <xdr:row>16</xdr:row>
      <xdr:rowOff>71057</xdr:rowOff>
    </xdr:to>
    <xdr:sp macro="" textlink="">
      <xdr:nvSpPr>
        <xdr:cNvPr id="6" name="Teardrop 5">
          <a:extLst>
            <a:ext uri="{FF2B5EF4-FFF2-40B4-BE49-F238E27FC236}">
              <a16:creationId xmlns:a16="http://schemas.microsoft.com/office/drawing/2014/main" id="{097EBE12-6458-41BE-8D37-CD74B5F337D3}"/>
            </a:ext>
          </a:extLst>
        </xdr:cNvPr>
        <xdr:cNvSpPr/>
      </xdr:nvSpPr>
      <xdr:spPr>
        <a:xfrm>
          <a:off x="1608667" y="2608032"/>
          <a:ext cx="350763" cy="341692"/>
        </a:xfrm>
        <a:prstGeom prst="teardrop">
          <a:avLst/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417928</xdr:colOff>
      <xdr:row>12</xdr:row>
      <xdr:rowOff>72572</xdr:rowOff>
    </xdr:from>
    <xdr:to>
      <xdr:col>3</xdr:col>
      <xdr:colOff>94034</xdr:colOff>
      <xdr:row>13</xdr:row>
      <xdr:rowOff>174101</xdr:rowOff>
    </xdr:to>
    <xdr:pic>
      <xdr:nvPicPr>
        <xdr:cNvPr id="8" name="Graphic 7" descr="Address 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739B56-4536-48E9-A201-3FDD3E70E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45595" y="2231572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14</xdr:row>
      <xdr:rowOff>120737</xdr:rowOff>
    </xdr:from>
    <xdr:to>
      <xdr:col>3</xdr:col>
      <xdr:colOff>94034</xdr:colOff>
      <xdr:row>16</xdr:row>
      <xdr:rowOff>42349</xdr:rowOff>
    </xdr:to>
    <xdr:pic>
      <xdr:nvPicPr>
        <xdr:cNvPr id="9" name="Graphic 8" descr="Ato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8471DE8-996E-44ED-8610-98B2DBEE3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645595" y="2639570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16</xdr:row>
      <xdr:rowOff>168902</xdr:rowOff>
    </xdr:from>
    <xdr:to>
      <xdr:col>3</xdr:col>
      <xdr:colOff>94034</xdr:colOff>
      <xdr:row>18</xdr:row>
      <xdr:rowOff>90515</xdr:rowOff>
    </xdr:to>
    <xdr:pic>
      <xdr:nvPicPr>
        <xdr:cNvPr id="10" name="Graphic 9" descr="Bank check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3BC947E-3C50-4FEF-ADF7-54889ED83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5595" y="3047569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19</xdr:row>
      <xdr:rowOff>37150</xdr:rowOff>
    </xdr:from>
    <xdr:to>
      <xdr:col>3</xdr:col>
      <xdr:colOff>94034</xdr:colOff>
      <xdr:row>20</xdr:row>
      <xdr:rowOff>138680</xdr:rowOff>
    </xdr:to>
    <xdr:pic>
      <xdr:nvPicPr>
        <xdr:cNvPr id="11" name="Graphic 10" descr="Beetl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AFAB66E-BDC7-404D-AD3D-83ECE554A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645595" y="3455567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21</xdr:row>
      <xdr:rowOff>85315</xdr:rowOff>
    </xdr:from>
    <xdr:to>
      <xdr:col>3</xdr:col>
      <xdr:colOff>94034</xdr:colOff>
      <xdr:row>23</xdr:row>
      <xdr:rowOff>6928</xdr:rowOff>
    </xdr:to>
    <xdr:pic>
      <xdr:nvPicPr>
        <xdr:cNvPr id="12" name="Graphic 11" descr="Bell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4EF17F6-8869-407C-BEBA-44A573506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645595" y="3863565"/>
          <a:ext cx="289939" cy="281446"/>
        </a:xfrm>
        <a:prstGeom prst="rect">
          <a:avLst/>
        </a:prstGeom>
      </xdr:spPr>
    </xdr:pic>
    <xdr:clientData/>
  </xdr:twoCellAnchor>
  <xdr:twoCellAnchor>
    <xdr:from>
      <xdr:col>23</xdr:col>
      <xdr:colOff>417286</xdr:colOff>
      <xdr:row>3</xdr:row>
      <xdr:rowOff>63498</xdr:rowOff>
    </xdr:from>
    <xdr:to>
      <xdr:col>26</xdr:col>
      <xdr:colOff>444500</xdr:colOff>
      <xdr:row>5</xdr:row>
      <xdr:rowOff>45356</xdr:rowOff>
    </xdr:to>
    <xdr:sp macro="" textlink="Sheet1!B3">
      <xdr:nvSpPr>
        <xdr:cNvPr id="13" name="Rectangle: Rounded Corners 12">
          <a:extLst>
            <a:ext uri="{FF2B5EF4-FFF2-40B4-BE49-F238E27FC236}">
              <a16:creationId xmlns:a16="http://schemas.microsoft.com/office/drawing/2014/main" id="{70A02A68-FE5B-482B-A4E0-D79D5C8B86EE}"/>
            </a:ext>
          </a:extLst>
        </xdr:cNvPr>
        <xdr:cNvSpPr/>
      </xdr:nvSpPr>
      <xdr:spPr>
        <a:xfrm>
          <a:off x="14438086" y="615948"/>
          <a:ext cx="1856014" cy="350158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9966FF"/>
            </a:gs>
            <a:gs pos="100000">
              <a:srgbClr val="390058"/>
            </a:gs>
            <a:gs pos="44000">
              <a:srgbClr val="390058"/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0FAEF080-0D45-4A20-BAAD-775542B29B10}" type="TxLink">
            <a:rPr lang="en-US" sz="900" b="0" i="0" u="none" strike="noStrike">
              <a:solidFill>
                <a:schemeClr val="bg1"/>
              </a:solidFill>
              <a:latin typeface="Montserrat"/>
              <a:ea typeface="+mn-ea"/>
              <a:cs typeface="+mn-cs"/>
            </a:rPr>
            <a:pPr marL="0" indent="0" algn="ctr"/>
            <a:t>Quarterly Report</a:t>
          </a:fld>
          <a:endParaRPr lang="en-IN" sz="1000" b="0" i="0" u="none" strike="noStrike">
            <a:solidFill>
              <a:schemeClr val="bg1"/>
            </a:solidFill>
            <a:latin typeface="Montserra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252186</xdr:colOff>
      <xdr:row>3</xdr:row>
      <xdr:rowOff>63498</xdr:rowOff>
    </xdr:from>
    <xdr:to>
      <xdr:col>23</xdr:col>
      <xdr:colOff>279401</xdr:colOff>
      <xdr:row>5</xdr:row>
      <xdr:rowOff>45356</xdr:rowOff>
    </xdr:to>
    <xdr:sp macro="" textlink="Sheet1!B2">
      <xdr:nvSpPr>
        <xdr:cNvPr id="14" name="Rectangle: Rounded Corners 13">
          <a:extLst>
            <a:ext uri="{FF2B5EF4-FFF2-40B4-BE49-F238E27FC236}">
              <a16:creationId xmlns:a16="http://schemas.microsoft.com/office/drawing/2014/main" id="{A2AC0462-D1BC-4272-AB08-A3A5654C1B16}"/>
            </a:ext>
          </a:extLst>
        </xdr:cNvPr>
        <xdr:cNvSpPr/>
      </xdr:nvSpPr>
      <xdr:spPr>
        <a:xfrm>
          <a:off x="12444186" y="615948"/>
          <a:ext cx="1856015" cy="350158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9966FF"/>
            </a:gs>
            <a:gs pos="100000">
              <a:srgbClr val="390058"/>
            </a:gs>
            <a:gs pos="44000">
              <a:srgbClr val="390058"/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A6DA619-8CDB-4AB8-9268-8BD4C18C5D2F}" type="TxLink">
            <a:rPr lang="en-US" sz="900" b="0" i="0" u="none" strike="noStrike">
              <a:solidFill>
                <a:schemeClr val="bg1"/>
              </a:solidFill>
              <a:latin typeface="Montserrat"/>
              <a:ea typeface="+mn-ea"/>
              <a:cs typeface="+mn-cs"/>
            </a:rPr>
            <a:pPr marL="0" indent="0" algn="ctr"/>
            <a:t>1st Jun - 15th Sep</a:t>
          </a:fld>
          <a:endParaRPr lang="en-IN" sz="12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281214</xdr:colOff>
      <xdr:row>3</xdr:row>
      <xdr:rowOff>72571</xdr:rowOff>
    </xdr:from>
    <xdr:to>
      <xdr:col>11</xdr:col>
      <xdr:colOff>36286</xdr:colOff>
      <xdr:row>5</xdr:row>
      <xdr:rowOff>36286</xdr:rowOff>
    </xdr:to>
    <xdr:sp macro="" textlink="Sheet1!B1">
      <xdr:nvSpPr>
        <xdr:cNvPr id="15" name="TextBox 14">
          <a:extLst>
            <a:ext uri="{FF2B5EF4-FFF2-40B4-BE49-F238E27FC236}">
              <a16:creationId xmlns:a16="http://schemas.microsoft.com/office/drawing/2014/main" id="{87B269E9-8B4C-410D-A7E5-2ACB6EB5B391}"/>
            </a:ext>
          </a:extLst>
        </xdr:cNvPr>
        <xdr:cNvSpPr txBox="1"/>
      </xdr:nvSpPr>
      <xdr:spPr>
        <a:xfrm>
          <a:off x="2110014" y="625021"/>
          <a:ext cx="4631872" cy="332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D76DF08B-6F96-4F8A-8194-AB7B8DB72D55}" type="TxLink">
            <a:rPr lang="en-US" sz="1100" b="0" i="0" u="none" strike="noStrike">
              <a:solidFill>
                <a:srgbClr val="390058"/>
              </a:solidFill>
              <a:latin typeface="Montserrat Medium" panose="00000600000000000000" pitchFamily="2" charset="0"/>
              <a:cs typeface="Calibri"/>
            </a:rPr>
            <a:pPr algn="l"/>
            <a:t>Performance Analytics Dashboard</a:t>
          </a:fld>
          <a:endParaRPr lang="en-IN" sz="1200" b="0" i="0" u="none" strike="noStrike">
            <a:solidFill>
              <a:srgbClr val="390058"/>
            </a:solidFill>
            <a:latin typeface="Montserrat Medium" panose="00000600000000000000" pitchFamily="2" charset="0"/>
            <a:cs typeface="Calibri"/>
          </a:endParaRPr>
        </a:p>
      </xdr:txBody>
    </xdr:sp>
    <xdr:clientData/>
  </xdr:twoCellAnchor>
  <xdr:twoCellAnchor>
    <xdr:from>
      <xdr:col>2</xdr:col>
      <xdr:colOff>351973</xdr:colOff>
      <xdr:row>3</xdr:row>
      <xdr:rowOff>18142</xdr:rowOff>
    </xdr:from>
    <xdr:to>
      <xdr:col>3</xdr:col>
      <xdr:colOff>217275</xdr:colOff>
      <xdr:row>5</xdr:row>
      <xdr:rowOff>163288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5643F145-5ED9-4F9C-9B4F-E631EF338E26}"/>
            </a:ext>
          </a:extLst>
        </xdr:cNvPr>
        <xdr:cNvGrpSpPr/>
      </xdr:nvGrpSpPr>
      <xdr:grpSpPr>
        <a:xfrm>
          <a:off x="1545773" y="551542"/>
          <a:ext cx="462202" cy="500746"/>
          <a:chOff x="1721757" y="751115"/>
          <a:chExt cx="491673" cy="527960"/>
        </a:xfrm>
      </xdr:grpSpPr>
      <xdr:sp macro="" textlink="">
        <xdr:nvSpPr>
          <xdr:cNvPr id="17" name="Teardrop 16">
            <a:extLst>
              <a:ext uri="{FF2B5EF4-FFF2-40B4-BE49-F238E27FC236}">
                <a16:creationId xmlns:a16="http://schemas.microsoft.com/office/drawing/2014/main" id="{CC0C924C-BF6A-4557-A808-5D9B55728C99}"/>
              </a:ext>
            </a:extLst>
          </xdr:cNvPr>
          <xdr:cNvSpPr/>
        </xdr:nvSpPr>
        <xdr:spPr>
          <a:xfrm>
            <a:off x="1721757" y="751115"/>
            <a:ext cx="453571" cy="453571"/>
          </a:xfrm>
          <a:prstGeom prst="teardrop">
            <a:avLst/>
          </a:prstGeom>
          <a:solidFill>
            <a:srgbClr val="9966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8" name="Teardrop 17">
            <a:extLst>
              <a:ext uri="{FF2B5EF4-FFF2-40B4-BE49-F238E27FC236}">
                <a16:creationId xmlns:a16="http://schemas.microsoft.com/office/drawing/2014/main" id="{A4709FAE-9180-421A-8D02-09950217EC01}"/>
              </a:ext>
            </a:extLst>
          </xdr:cNvPr>
          <xdr:cNvSpPr/>
        </xdr:nvSpPr>
        <xdr:spPr>
          <a:xfrm>
            <a:off x="1759859" y="825504"/>
            <a:ext cx="453571" cy="453571"/>
          </a:xfrm>
          <a:prstGeom prst="teardrop">
            <a:avLst/>
          </a:prstGeom>
          <a:gradFill flip="none" rotWithShape="1">
            <a:gsLst>
              <a:gs pos="0">
                <a:srgbClr val="9966FF"/>
              </a:gs>
              <a:gs pos="100000">
                <a:srgbClr val="390058"/>
              </a:gs>
              <a:gs pos="44000">
                <a:srgbClr val="390058"/>
              </a:gs>
            </a:gsLst>
            <a:lin ang="2700000" scaled="1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3</xdr:col>
      <xdr:colOff>317501</xdr:colOff>
      <xdr:row>14</xdr:row>
      <xdr:rowOff>69548</xdr:rowOff>
    </xdr:from>
    <xdr:to>
      <xdr:col>3</xdr:col>
      <xdr:colOff>353501</xdr:colOff>
      <xdr:row>16</xdr:row>
      <xdr:rowOff>66690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CB06A597-904B-4FC4-B179-F9E3A213CBBA}"/>
            </a:ext>
          </a:extLst>
        </xdr:cNvPr>
        <xdr:cNvSpPr/>
      </xdr:nvSpPr>
      <xdr:spPr>
        <a:xfrm>
          <a:off x="2159001" y="2588381"/>
          <a:ext cx="36000" cy="356976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117929</xdr:colOff>
      <xdr:row>7</xdr:row>
      <xdr:rowOff>18142</xdr:rowOff>
    </xdr:from>
    <xdr:to>
      <xdr:col>6</xdr:col>
      <xdr:colOff>54430</xdr:colOff>
      <xdr:row>35</xdr:row>
      <xdr:rowOff>54428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C57763B-19E3-419B-B4BE-63BC6DD63012}"/>
            </a:ext>
          </a:extLst>
        </xdr:cNvPr>
        <xdr:cNvSpPr/>
      </xdr:nvSpPr>
      <xdr:spPr>
        <a:xfrm>
          <a:off x="2556329" y="1307192"/>
          <a:ext cx="1155701" cy="519248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254902</xdr:colOff>
      <xdr:row>8</xdr:row>
      <xdr:rowOff>119743</xdr:rowOff>
    </xdr:from>
    <xdr:to>
      <xdr:col>5</xdr:col>
      <xdr:colOff>544397</xdr:colOff>
      <xdr:row>9</xdr:row>
      <xdr:rowOff>147390</xdr:rowOff>
    </xdr:to>
    <xdr:sp macro="" textlink="Sheet1!C21">
      <xdr:nvSpPr>
        <xdr:cNvPr id="21" name="TextBox 20">
          <a:extLst>
            <a:ext uri="{FF2B5EF4-FFF2-40B4-BE49-F238E27FC236}">
              <a16:creationId xmlns:a16="http://schemas.microsoft.com/office/drawing/2014/main" id="{19B06A39-6FA7-4A3B-A375-573784785DB2}"/>
            </a:ext>
          </a:extLst>
        </xdr:cNvPr>
        <xdr:cNvSpPr txBox="1"/>
      </xdr:nvSpPr>
      <xdr:spPr>
        <a:xfrm>
          <a:off x="2693302" y="1592943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45427325-9F4F-45FF-A346-255B4FCE87D4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Visits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9</xdr:row>
      <xdr:rowOff>88470</xdr:rowOff>
    </xdr:from>
    <xdr:to>
      <xdr:col>5</xdr:col>
      <xdr:colOff>541678</xdr:colOff>
      <xdr:row>10</xdr:row>
      <xdr:rowOff>116116</xdr:rowOff>
    </xdr:to>
    <xdr:sp macro="" textlink="Sheet1!D21">
      <xdr:nvSpPr>
        <xdr:cNvPr id="22" name="TextBox 21">
          <a:extLst>
            <a:ext uri="{FF2B5EF4-FFF2-40B4-BE49-F238E27FC236}">
              <a16:creationId xmlns:a16="http://schemas.microsoft.com/office/drawing/2014/main" id="{F542A78B-02C4-44B7-8FA6-EF16676DB291}"/>
            </a:ext>
          </a:extLst>
        </xdr:cNvPr>
        <xdr:cNvSpPr txBox="1"/>
      </xdr:nvSpPr>
      <xdr:spPr>
        <a:xfrm>
          <a:off x="2690583" y="1745820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7AF8DCC1-F749-46B2-8E23-83D708A61C32}" type="TxLink">
            <a:rPr lang="en-US" sz="1000" b="1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65 800</a:t>
          </a:fld>
          <a:endParaRPr lang="en-IN" sz="105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11</xdr:row>
      <xdr:rowOff>35077</xdr:rowOff>
    </xdr:from>
    <xdr:to>
      <xdr:col>5</xdr:col>
      <xdr:colOff>544397</xdr:colOff>
      <xdr:row>12</xdr:row>
      <xdr:rowOff>62723</xdr:rowOff>
    </xdr:to>
    <xdr:sp macro="" textlink="Sheet1!C22">
      <xdr:nvSpPr>
        <xdr:cNvPr id="23" name="TextBox 22">
          <a:extLst>
            <a:ext uri="{FF2B5EF4-FFF2-40B4-BE49-F238E27FC236}">
              <a16:creationId xmlns:a16="http://schemas.microsoft.com/office/drawing/2014/main" id="{83F48D1D-5D18-4A9D-A56F-59A1F62B23B6}"/>
            </a:ext>
          </a:extLst>
        </xdr:cNvPr>
        <xdr:cNvSpPr txBox="1"/>
      </xdr:nvSpPr>
      <xdr:spPr>
        <a:xfrm>
          <a:off x="2693302" y="2060727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DB4994B-D64B-449B-9D2E-5C7C5D5E27F6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Page Views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12</xdr:row>
      <xdr:rowOff>3803</xdr:rowOff>
    </xdr:from>
    <xdr:to>
      <xdr:col>5</xdr:col>
      <xdr:colOff>541678</xdr:colOff>
      <xdr:row>13</xdr:row>
      <xdr:rowOff>31450</xdr:rowOff>
    </xdr:to>
    <xdr:sp macro="" textlink="Sheet1!D22">
      <xdr:nvSpPr>
        <xdr:cNvPr id="24" name="TextBox 23">
          <a:extLst>
            <a:ext uri="{FF2B5EF4-FFF2-40B4-BE49-F238E27FC236}">
              <a16:creationId xmlns:a16="http://schemas.microsoft.com/office/drawing/2014/main" id="{4B5BE93C-15C6-4554-8D6C-3EBE5A60C6F2}"/>
            </a:ext>
          </a:extLst>
        </xdr:cNvPr>
        <xdr:cNvSpPr txBox="1"/>
      </xdr:nvSpPr>
      <xdr:spPr>
        <a:xfrm>
          <a:off x="2690583" y="2213603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FB362E6-7109-4C94-BFB3-6CDE56B12D02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100 480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13</xdr:row>
      <xdr:rowOff>131839</xdr:rowOff>
    </xdr:from>
    <xdr:to>
      <xdr:col>5</xdr:col>
      <xdr:colOff>544397</xdr:colOff>
      <xdr:row>14</xdr:row>
      <xdr:rowOff>159485</xdr:rowOff>
    </xdr:to>
    <xdr:sp macro="" textlink="Sheet1!C23">
      <xdr:nvSpPr>
        <xdr:cNvPr id="25" name="TextBox 24">
          <a:extLst>
            <a:ext uri="{FF2B5EF4-FFF2-40B4-BE49-F238E27FC236}">
              <a16:creationId xmlns:a16="http://schemas.microsoft.com/office/drawing/2014/main" id="{C52B5F37-6A29-4ED4-8402-34261D84BF0B}"/>
            </a:ext>
          </a:extLst>
        </xdr:cNvPr>
        <xdr:cNvSpPr txBox="1"/>
      </xdr:nvSpPr>
      <xdr:spPr>
        <a:xfrm>
          <a:off x="2693302" y="2525789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4F4D1ECD-53BF-4EA3-AC1D-8A83292BD409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Bounce Rate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14</xdr:row>
      <xdr:rowOff>100565</xdr:rowOff>
    </xdr:from>
    <xdr:to>
      <xdr:col>5</xdr:col>
      <xdr:colOff>541678</xdr:colOff>
      <xdr:row>15</xdr:row>
      <xdr:rowOff>128211</xdr:rowOff>
    </xdr:to>
    <xdr:sp macro="" textlink="Sheet1!D23">
      <xdr:nvSpPr>
        <xdr:cNvPr id="26" name="TextBox 25">
          <a:extLst>
            <a:ext uri="{FF2B5EF4-FFF2-40B4-BE49-F238E27FC236}">
              <a16:creationId xmlns:a16="http://schemas.microsoft.com/office/drawing/2014/main" id="{D902A40B-0164-42FC-B015-41D3D36D576C}"/>
            </a:ext>
          </a:extLst>
        </xdr:cNvPr>
        <xdr:cNvSpPr txBox="1"/>
      </xdr:nvSpPr>
      <xdr:spPr>
        <a:xfrm>
          <a:off x="2690583" y="2678665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A9D1424-E58E-4A1D-AAF0-D58EECBFB925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45%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16</xdr:row>
      <xdr:rowOff>47172</xdr:rowOff>
    </xdr:from>
    <xdr:to>
      <xdr:col>5</xdr:col>
      <xdr:colOff>544397</xdr:colOff>
      <xdr:row>17</xdr:row>
      <xdr:rowOff>74818</xdr:rowOff>
    </xdr:to>
    <xdr:sp macro="" textlink="Sheet1!C24">
      <xdr:nvSpPr>
        <xdr:cNvPr id="27" name="TextBox 26">
          <a:extLst>
            <a:ext uri="{FF2B5EF4-FFF2-40B4-BE49-F238E27FC236}">
              <a16:creationId xmlns:a16="http://schemas.microsoft.com/office/drawing/2014/main" id="{EFEC9E97-61AD-4606-98A5-0244BAA587F5}"/>
            </a:ext>
          </a:extLst>
        </xdr:cNvPr>
        <xdr:cNvSpPr txBox="1"/>
      </xdr:nvSpPr>
      <xdr:spPr>
        <a:xfrm>
          <a:off x="2693302" y="2993572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7113FD0-93D4-44F4-80F3-773230FC75F1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Exit Rate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17</xdr:row>
      <xdr:rowOff>15898</xdr:rowOff>
    </xdr:from>
    <xdr:to>
      <xdr:col>5</xdr:col>
      <xdr:colOff>541678</xdr:colOff>
      <xdr:row>18</xdr:row>
      <xdr:rowOff>43545</xdr:rowOff>
    </xdr:to>
    <xdr:sp macro="" textlink="Sheet1!D24">
      <xdr:nvSpPr>
        <xdr:cNvPr id="28" name="TextBox 27">
          <a:extLst>
            <a:ext uri="{FF2B5EF4-FFF2-40B4-BE49-F238E27FC236}">
              <a16:creationId xmlns:a16="http://schemas.microsoft.com/office/drawing/2014/main" id="{87666D6E-5A7A-48AB-87B7-0465D1B9A82D}"/>
            </a:ext>
          </a:extLst>
        </xdr:cNvPr>
        <xdr:cNvSpPr txBox="1"/>
      </xdr:nvSpPr>
      <xdr:spPr>
        <a:xfrm>
          <a:off x="2690583" y="3146448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8BB8D4B-0E4E-487D-8578-74D47CC46EC7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44%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18</xdr:row>
      <xdr:rowOff>143934</xdr:rowOff>
    </xdr:from>
    <xdr:to>
      <xdr:col>5</xdr:col>
      <xdr:colOff>544397</xdr:colOff>
      <xdr:row>19</xdr:row>
      <xdr:rowOff>171580</xdr:rowOff>
    </xdr:to>
    <xdr:sp macro="" textlink="Sheet1!C25">
      <xdr:nvSpPr>
        <xdr:cNvPr id="29" name="TextBox 28">
          <a:extLst>
            <a:ext uri="{FF2B5EF4-FFF2-40B4-BE49-F238E27FC236}">
              <a16:creationId xmlns:a16="http://schemas.microsoft.com/office/drawing/2014/main" id="{82F9D4DB-BF8B-43DD-93DC-F644238B0343}"/>
            </a:ext>
          </a:extLst>
        </xdr:cNvPr>
        <xdr:cNvSpPr txBox="1"/>
      </xdr:nvSpPr>
      <xdr:spPr>
        <a:xfrm>
          <a:off x="2693302" y="3458634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7AC2CE0-E7A9-4E65-9596-973F56CBADF8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Organic Traffic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19</xdr:row>
      <xdr:rowOff>112660</xdr:rowOff>
    </xdr:from>
    <xdr:to>
      <xdr:col>5</xdr:col>
      <xdr:colOff>541678</xdr:colOff>
      <xdr:row>20</xdr:row>
      <xdr:rowOff>140307</xdr:rowOff>
    </xdr:to>
    <xdr:sp macro="" textlink="Sheet1!D25">
      <xdr:nvSpPr>
        <xdr:cNvPr id="30" name="TextBox 29">
          <a:extLst>
            <a:ext uri="{FF2B5EF4-FFF2-40B4-BE49-F238E27FC236}">
              <a16:creationId xmlns:a16="http://schemas.microsoft.com/office/drawing/2014/main" id="{BCB6F4C7-7447-40F8-8137-3EAA61B96CCA}"/>
            </a:ext>
          </a:extLst>
        </xdr:cNvPr>
        <xdr:cNvSpPr txBox="1"/>
      </xdr:nvSpPr>
      <xdr:spPr>
        <a:xfrm>
          <a:off x="2690583" y="3611510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5BDF479-2A39-4329-9821-6DAC5E8F9761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31 300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21</xdr:row>
      <xdr:rowOff>59267</xdr:rowOff>
    </xdr:from>
    <xdr:to>
      <xdr:col>5</xdr:col>
      <xdr:colOff>544397</xdr:colOff>
      <xdr:row>22</xdr:row>
      <xdr:rowOff>86913</xdr:rowOff>
    </xdr:to>
    <xdr:sp macro="" textlink="Sheet1!C26">
      <xdr:nvSpPr>
        <xdr:cNvPr id="31" name="TextBox 30">
          <a:extLst>
            <a:ext uri="{FF2B5EF4-FFF2-40B4-BE49-F238E27FC236}">
              <a16:creationId xmlns:a16="http://schemas.microsoft.com/office/drawing/2014/main" id="{74E00766-6F01-478A-890D-7759B00EDF94}"/>
            </a:ext>
          </a:extLst>
        </xdr:cNvPr>
        <xdr:cNvSpPr txBox="1"/>
      </xdr:nvSpPr>
      <xdr:spPr>
        <a:xfrm>
          <a:off x="2693302" y="3926417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DCAAB2E-1386-46B0-AAF8-FC8E60648403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Paid Traffic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22</xdr:row>
      <xdr:rowOff>27993</xdr:rowOff>
    </xdr:from>
    <xdr:to>
      <xdr:col>5</xdr:col>
      <xdr:colOff>541678</xdr:colOff>
      <xdr:row>23</xdr:row>
      <xdr:rowOff>55640</xdr:rowOff>
    </xdr:to>
    <xdr:sp macro="" textlink="Sheet1!D26">
      <xdr:nvSpPr>
        <xdr:cNvPr id="32" name="TextBox 31">
          <a:extLst>
            <a:ext uri="{FF2B5EF4-FFF2-40B4-BE49-F238E27FC236}">
              <a16:creationId xmlns:a16="http://schemas.microsoft.com/office/drawing/2014/main" id="{DECE953B-E890-4383-BF5D-89689658D050}"/>
            </a:ext>
          </a:extLst>
        </xdr:cNvPr>
        <xdr:cNvSpPr txBox="1"/>
      </xdr:nvSpPr>
      <xdr:spPr>
        <a:xfrm>
          <a:off x="2690583" y="4079293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52BA47A-4C3C-484E-B112-CBCE5E804B53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7 280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23</xdr:row>
      <xdr:rowOff>156029</xdr:rowOff>
    </xdr:from>
    <xdr:to>
      <xdr:col>5</xdr:col>
      <xdr:colOff>544397</xdr:colOff>
      <xdr:row>25</xdr:row>
      <xdr:rowOff>2247</xdr:rowOff>
    </xdr:to>
    <xdr:sp macro="" textlink="Sheet1!C27">
      <xdr:nvSpPr>
        <xdr:cNvPr id="33" name="TextBox 32">
          <a:extLst>
            <a:ext uri="{FF2B5EF4-FFF2-40B4-BE49-F238E27FC236}">
              <a16:creationId xmlns:a16="http://schemas.microsoft.com/office/drawing/2014/main" id="{EE9FFA48-FA0B-42E4-8494-CE0559D44D81}"/>
            </a:ext>
          </a:extLst>
        </xdr:cNvPr>
        <xdr:cNvSpPr txBox="1"/>
      </xdr:nvSpPr>
      <xdr:spPr>
        <a:xfrm>
          <a:off x="2693302" y="4391479"/>
          <a:ext cx="899095" cy="214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920EDD6-0D34-47E4-BB24-87E3E79276AB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Direct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24</xdr:row>
      <xdr:rowOff>124755</xdr:rowOff>
    </xdr:from>
    <xdr:to>
      <xdr:col>5</xdr:col>
      <xdr:colOff>541678</xdr:colOff>
      <xdr:row>25</xdr:row>
      <xdr:rowOff>152402</xdr:rowOff>
    </xdr:to>
    <xdr:sp macro="" textlink="Sheet1!D27">
      <xdr:nvSpPr>
        <xdr:cNvPr id="34" name="TextBox 33">
          <a:extLst>
            <a:ext uri="{FF2B5EF4-FFF2-40B4-BE49-F238E27FC236}">
              <a16:creationId xmlns:a16="http://schemas.microsoft.com/office/drawing/2014/main" id="{F546B7E6-C8B1-4584-9A22-AF3E487F200C}"/>
            </a:ext>
          </a:extLst>
        </xdr:cNvPr>
        <xdr:cNvSpPr txBox="1"/>
      </xdr:nvSpPr>
      <xdr:spPr>
        <a:xfrm>
          <a:off x="2690583" y="4544355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A81CE9A-2667-4A8D-A754-8D5B7777037A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7 750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26</xdr:row>
      <xdr:rowOff>71362</xdr:rowOff>
    </xdr:from>
    <xdr:to>
      <xdr:col>5</xdr:col>
      <xdr:colOff>544397</xdr:colOff>
      <xdr:row>27</xdr:row>
      <xdr:rowOff>99009</xdr:rowOff>
    </xdr:to>
    <xdr:sp macro="" textlink="Sheet1!C28">
      <xdr:nvSpPr>
        <xdr:cNvPr id="35" name="TextBox 34">
          <a:extLst>
            <a:ext uri="{FF2B5EF4-FFF2-40B4-BE49-F238E27FC236}">
              <a16:creationId xmlns:a16="http://schemas.microsoft.com/office/drawing/2014/main" id="{FF3BDB4A-3665-40D8-9027-5AFABD0DED3D}"/>
            </a:ext>
          </a:extLst>
        </xdr:cNvPr>
        <xdr:cNvSpPr txBox="1"/>
      </xdr:nvSpPr>
      <xdr:spPr>
        <a:xfrm>
          <a:off x="2693302" y="4859262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8831F4E-923E-4C8A-9E8E-61FE8A37FDC5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Social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27</xdr:row>
      <xdr:rowOff>40089</xdr:rowOff>
    </xdr:from>
    <xdr:to>
      <xdr:col>5</xdr:col>
      <xdr:colOff>541678</xdr:colOff>
      <xdr:row>28</xdr:row>
      <xdr:rowOff>67735</xdr:rowOff>
    </xdr:to>
    <xdr:sp macro="" textlink="Sheet1!D28">
      <xdr:nvSpPr>
        <xdr:cNvPr id="36" name="TextBox 35">
          <a:extLst>
            <a:ext uri="{FF2B5EF4-FFF2-40B4-BE49-F238E27FC236}">
              <a16:creationId xmlns:a16="http://schemas.microsoft.com/office/drawing/2014/main" id="{109C5696-8C58-4AE4-BB16-88C851797AE7}"/>
            </a:ext>
          </a:extLst>
        </xdr:cNvPr>
        <xdr:cNvSpPr txBox="1"/>
      </xdr:nvSpPr>
      <xdr:spPr>
        <a:xfrm>
          <a:off x="2690583" y="5012139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7B94C1D-F74E-4233-AA66-92EAA8CA10BE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2 540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28</xdr:row>
      <xdr:rowOff>168124</xdr:rowOff>
    </xdr:from>
    <xdr:to>
      <xdr:col>5</xdr:col>
      <xdr:colOff>544397</xdr:colOff>
      <xdr:row>30</xdr:row>
      <xdr:rowOff>14342</xdr:rowOff>
    </xdr:to>
    <xdr:sp macro="" textlink="Sheet1!C29">
      <xdr:nvSpPr>
        <xdr:cNvPr id="37" name="TextBox 36">
          <a:extLst>
            <a:ext uri="{FF2B5EF4-FFF2-40B4-BE49-F238E27FC236}">
              <a16:creationId xmlns:a16="http://schemas.microsoft.com/office/drawing/2014/main" id="{84AE3DC0-E6AA-44D8-8873-2963CDDC02AD}"/>
            </a:ext>
          </a:extLst>
        </xdr:cNvPr>
        <xdr:cNvSpPr txBox="1"/>
      </xdr:nvSpPr>
      <xdr:spPr>
        <a:xfrm>
          <a:off x="2693302" y="5324324"/>
          <a:ext cx="899095" cy="214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77D5058-F28F-490B-A728-2D3D325C2C5C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Referral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29</xdr:row>
      <xdr:rowOff>136850</xdr:rowOff>
    </xdr:from>
    <xdr:to>
      <xdr:col>5</xdr:col>
      <xdr:colOff>541678</xdr:colOff>
      <xdr:row>30</xdr:row>
      <xdr:rowOff>164497</xdr:rowOff>
    </xdr:to>
    <xdr:sp macro="" textlink="Sheet1!D29">
      <xdr:nvSpPr>
        <xdr:cNvPr id="38" name="TextBox 37">
          <a:extLst>
            <a:ext uri="{FF2B5EF4-FFF2-40B4-BE49-F238E27FC236}">
              <a16:creationId xmlns:a16="http://schemas.microsoft.com/office/drawing/2014/main" id="{EF899E62-0D17-4621-A015-65AC28AB656D}"/>
            </a:ext>
          </a:extLst>
        </xdr:cNvPr>
        <xdr:cNvSpPr txBox="1"/>
      </xdr:nvSpPr>
      <xdr:spPr>
        <a:xfrm>
          <a:off x="2690583" y="5477200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C522332-87E7-4CA4-BA25-F933180AE898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16 930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31</xdr:row>
      <xdr:rowOff>83458</xdr:rowOff>
    </xdr:from>
    <xdr:to>
      <xdr:col>5</xdr:col>
      <xdr:colOff>544397</xdr:colOff>
      <xdr:row>32</xdr:row>
      <xdr:rowOff>111105</xdr:rowOff>
    </xdr:to>
    <xdr:sp macro="" textlink="Sheet1!C30">
      <xdr:nvSpPr>
        <xdr:cNvPr id="39" name="TextBox 38">
          <a:extLst>
            <a:ext uri="{FF2B5EF4-FFF2-40B4-BE49-F238E27FC236}">
              <a16:creationId xmlns:a16="http://schemas.microsoft.com/office/drawing/2014/main" id="{05CD7E2C-220C-4ADB-BD0C-BBC7A15180C5}"/>
            </a:ext>
          </a:extLst>
        </xdr:cNvPr>
        <xdr:cNvSpPr txBox="1"/>
      </xdr:nvSpPr>
      <xdr:spPr>
        <a:xfrm>
          <a:off x="2693302" y="5792108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9DA521A-3836-45B7-90AD-B316D5309A36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Top Location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32</xdr:row>
      <xdr:rowOff>52185</xdr:rowOff>
    </xdr:from>
    <xdr:to>
      <xdr:col>5</xdr:col>
      <xdr:colOff>541678</xdr:colOff>
      <xdr:row>33</xdr:row>
      <xdr:rowOff>79831</xdr:rowOff>
    </xdr:to>
    <xdr:sp macro="" textlink="Sheet1!D30">
      <xdr:nvSpPr>
        <xdr:cNvPr id="40" name="TextBox 39">
          <a:extLst>
            <a:ext uri="{FF2B5EF4-FFF2-40B4-BE49-F238E27FC236}">
              <a16:creationId xmlns:a16="http://schemas.microsoft.com/office/drawing/2014/main" id="{D939C096-B21F-47C8-AC0E-8F120919FA30}"/>
            </a:ext>
          </a:extLst>
        </xdr:cNvPr>
        <xdr:cNvSpPr txBox="1"/>
      </xdr:nvSpPr>
      <xdr:spPr>
        <a:xfrm>
          <a:off x="2690583" y="5944985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32F34E3-41F9-4CF5-8942-76047CC92CFE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Japan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317500</xdr:colOff>
      <xdr:row>7</xdr:row>
      <xdr:rowOff>18142</xdr:rowOff>
    </xdr:from>
    <xdr:to>
      <xdr:col>12</xdr:col>
      <xdr:colOff>480785</xdr:colOff>
      <xdr:row>20</xdr:row>
      <xdr:rowOff>136071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6432D43-1AF0-4457-BE2D-9B98A25AD284}"/>
            </a:ext>
          </a:extLst>
        </xdr:cNvPr>
        <xdr:cNvSpPr/>
      </xdr:nvSpPr>
      <xdr:spPr>
        <a:xfrm>
          <a:off x="3975100" y="1307192"/>
          <a:ext cx="3820885" cy="251187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353786</xdr:colOff>
      <xdr:row>9</xdr:row>
      <xdr:rowOff>36286</xdr:rowOff>
    </xdr:from>
    <xdr:to>
      <xdr:col>12</xdr:col>
      <xdr:colOff>480785</xdr:colOff>
      <xdr:row>20</xdr:row>
      <xdr:rowOff>117928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2470B0F4-1D8D-4908-BB61-CC07E7A8D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335643</xdr:colOff>
      <xdr:row>7</xdr:row>
      <xdr:rowOff>72571</xdr:rowOff>
    </xdr:from>
    <xdr:to>
      <xdr:col>9</xdr:col>
      <xdr:colOff>235858</xdr:colOff>
      <xdr:row>8</xdr:row>
      <xdr:rowOff>117928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3246499-813E-409C-B0C7-AB9DE41F3F0B}"/>
            </a:ext>
          </a:extLst>
        </xdr:cNvPr>
        <xdr:cNvSpPr txBox="1"/>
      </xdr:nvSpPr>
      <xdr:spPr>
        <a:xfrm>
          <a:off x="3993243" y="1361621"/>
          <a:ext cx="1729015" cy="22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Visits &amp; Page Views</a:t>
          </a:r>
        </a:p>
      </xdr:txBody>
    </xdr:sp>
    <xdr:clientData/>
  </xdr:twoCellAnchor>
  <xdr:twoCellAnchor>
    <xdr:from>
      <xdr:col>13</xdr:col>
      <xdr:colOff>143329</xdr:colOff>
      <xdr:row>7</xdr:row>
      <xdr:rowOff>25399</xdr:rowOff>
    </xdr:from>
    <xdr:to>
      <xdr:col>19</xdr:col>
      <xdr:colOff>306614</xdr:colOff>
      <xdr:row>20</xdr:row>
      <xdr:rowOff>143328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3604D86-A0CF-4B91-B5A0-F230C2543ED1}"/>
            </a:ext>
          </a:extLst>
        </xdr:cNvPr>
        <xdr:cNvSpPr/>
      </xdr:nvSpPr>
      <xdr:spPr>
        <a:xfrm>
          <a:off x="8068129" y="1314449"/>
          <a:ext cx="3820885" cy="251187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161472</xdr:colOff>
      <xdr:row>7</xdr:row>
      <xdr:rowOff>79828</xdr:rowOff>
    </xdr:from>
    <xdr:to>
      <xdr:col>16</xdr:col>
      <xdr:colOff>61687</xdr:colOff>
      <xdr:row>8</xdr:row>
      <xdr:rowOff>125185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C37FA4B-970B-4F5C-9E9F-535ED9F15221}"/>
            </a:ext>
          </a:extLst>
        </xdr:cNvPr>
        <xdr:cNvSpPr txBox="1"/>
      </xdr:nvSpPr>
      <xdr:spPr>
        <a:xfrm>
          <a:off x="8086272" y="1368878"/>
          <a:ext cx="1729015" cy="22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Bounce &amp;</a:t>
          </a:r>
          <a:r>
            <a:rPr lang="en-IN" sz="900" b="1" i="0" u="none" strike="noStrike" baseline="0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 Exit Rate</a:t>
          </a:r>
          <a:endParaRPr lang="en-IN" sz="9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13</xdr:col>
      <xdr:colOff>136072</xdr:colOff>
      <xdr:row>8</xdr:row>
      <xdr:rowOff>90714</xdr:rowOff>
    </xdr:from>
    <xdr:to>
      <xdr:col>19</xdr:col>
      <xdr:colOff>299357</xdr:colOff>
      <xdr:row>20</xdr:row>
      <xdr:rowOff>154214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AAD09E47-558E-4DB1-82C6-686F4C86D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306614</xdr:colOff>
      <xdr:row>21</xdr:row>
      <xdr:rowOff>125185</xdr:rowOff>
    </xdr:from>
    <xdr:to>
      <xdr:col>12</xdr:col>
      <xdr:colOff>469899</xdr:colOff>
      <xdr:row>35</xdr:row>
      <xdr:rowOff>61685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7CAA89A0-1C76-4E6B-9628-8667E91FC832}"/>
            </a:ext>
          </a:extLst>
        </xdr:cNvPr>
        <xdr:cNvSpPr/>
      </xdr:nvSpPr>
      <xdr:spPr>
        <a:xfrm>
          <a:off x="3964214" y="3992335"/>
          <a:ext cx="3820885" cy="25146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324757</xdr:colOff>
      <xdr:row>21</xdr:row>
      <xdr:rowOff>179614</xdr:rowOff>
    </xdr:from>
    <xdr:to>
      <xdr:col>9</xdr:col>
      <xdr:colOff>224972</xdr:colOff>
      <xdr:row>23</xdr:row>
      <xdr:rowOff>43543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723EA99-78FE-4E69-B503-E6409ACCA0F6}"/>
            </a:ext>
          </a:extLst>
        </xdr:cNvPr>
        <xdr:cNvSpPr txBox="1"/>
      </xdr:nvSpPr>
      <xdr:spPr>
        <a:xfrm>
          <a:off x="3982357" y="4046764"/>
          <a:ext cx="1729015" cy="232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Organic Vs. Paid</a:t>
          </a:r>
        </a:p>
      </xdr:txBody>
    </xdr:sp>
    <xdr:clientData/>
  </xdr:twoCellAnchor>
  <xdr:twoCellAnchor>
    <xdr:from>
      <xdr:col>6</xdr:col>
      <xdr:colOff>264887</xdr:colOff>
      <xdr:row>23</xdr:row>
      <xdr:rowOff>0</xdr:rowOff>
    </xdr:from>
    <xdr:to>
      <xdr:col>12</xdr:col>
      <xdr:colOff>489856</xdr:colOff>
      <xdr:row>35</xdr:row>
      <xdr:rowOff>99786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286E2F5B-864F-46CF-A327-B5E0D9FC6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</xdr:col>
      <xdr:colOff>141514</xdr:colOff>
      <xdr:row>21</xdr:row>
      <xdr:rowOff>132442</xdr:rowOff>
    </xdr:from>
    <xdr:to>
      <xdr:col>19</xdr:col>
      <xdr:colOff>304799</xdr:colOff>
      <xdr:row>35</xdr:row>
      <xdr:rowOff>68942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F8CFE35-DFB9-4E61-8F29-FE561FAF0D55}"/>
            </a:ext>
          </a:extLst>
        </xdr:cNvPr>
        <xdr:cNvSpPr/>
      </xdr:nvSpPr>
      <xdr:spPr>
        <a:xfrm>
          <a:off x="8066314" y="3999592"/>
          <a:ext cx="3820885" cy="25146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161472</xdr:colOff>
      <xdr:row>21</xdr:row>
      <xdr:rowOff>179614</xdr:rowOff>
    </xdr:from>
    <xdr:to>
      <xdr:col>16</xdr:col>
      <xdr:colOff>423334</xdr:colOff>
      <xdr:row>23</xdr:row>
      <xdr:rowOff>52917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352C111-C304-49F9-8303-E7779D719693}"/>
            </a:ext>
          </a:extLst>
        </xdr:cNvPr>
        <xdr:cNvSpPr txBox="1"/>
      </xdr:nvSpPr>
      <xdr:spPr>
        <a:xfrm>
          <a:off x="8086272" y="4046764"/>
          <a:ext cx="2090662" cy="2416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Direct Vs. Social Vs. Referral</a:t>
          </a:r>
        </a:p>
      </xdr:txBody>
    </xdr:sp>
    <xdr:clientData/>
  </xdr:twoCellAnchor>
  <xdr:twoCellAnchor>
    <xdr:from>
      <xdr:col>13</xdr:col>
      <xdr:colOff>154214</xdr:colOff>
      <xdr:row>23</xdr:row>
      <xdr:rowOff>99785</xdr:rowOff>
    </xdr:from>
    <xdr:to>
      <xdr:col>19</xdr:col>
      <xdr:colOff>263071</xdr:colOff>
      <xdr:row>35</xdr:row>
      <xdr:rowOff>99785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DE31A805-8C62-4B32-A374-5283AA229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19</xdr:col>
      <xdr:colOff>576941</xdr:colOff>
      <xdr:row>7</xdr:row>
      <xdr:rowOff>14513</xdr:rowOff>
    </xdr:from>
    <xdr:to>
      <xdr:col>26</xdr:col>
      <xdr:colOff>326570</xdr:colOff>
      <xdr:row>35</xdr:row>
      <xdr:rowOff>72570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B2A9A9D-D662-4168-AAF9-0C7855C7D711}"/>
            </a:ext>
          </a:extLst>
        </xdr:cNvPr>
        <xdr:cNvSpPr/>
      </xdr:nvSpPr>
      <xdr:spPr>
        <a:xfrm>
          <a:off x="12159341" y="1303563"/>
          <a:ext cx="4016829" cy="5214257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595085</xdr:colOff>
      <xdr:row>7</xdr:row>
      <xdr:rowOff>68943</xdr:rowOff>
    </xdr:from>
    <xdr:to>
      <xdr:col>22</xdr:col>
      <xdr:colOff>495300</xdr:colOff>
      <xdr:row>8</xdr:row>
      <xdr:rowOff>114300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35778EE-1580-44DE-AF9D-9BEF93235E1D}"/>
            </a:ext>
          </a:extLst>
        </xdr:cNvPr>
        <xdr:cNvSpPr txBox="1"/>
      </xdr:nvSpPr>
      <xdr:spPr>
        <a:xfrm>
          <a:off x="12177485" y="1357993"/>
          <a:ext cx="1729015" cy="22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Geographic</a:t>
          </a:r>
        </a:p>
      </xdr:txBody>
    </xdr:sp>
    <xdr:clientData/>
  </xdr:twoCellAnchor>
  <xdr:twoCellAnchor>
    <xdr:from>
      <xdr:col>20</xdr:col>
      <xdr:colOff>172357</xdr:colOff>
      <xdr:row>10</xdr:row>
      <xdr:rowOff>74083</xdr:rowOff>
    </xdr:from>
    <xdr:to>
      <xdr:col>26</xdr:col>
      <xdr:colOff>226785</xdr:colOff>
      <xdr:row>34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D5EDEB37-D7BA-4636-9442-190D93E1F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22</xdr:col>
      <xdr:colOff>117928</xdr:colOff>
      <xdr:row>19</xdr:row>
      <xdr:rowOff>176890</xdr:rowOff>
    </xdr:from>
    <xdr:to>
      <xdr:col>24</xdr:col>
      <xdr:colOff>281214</xdr:colOff>
      <xdr:row>23</xdr:row>
      <xdr:rowOff>24189</xdr:rowOff>
    </xdr:to>
    <xdr:sp macro="" textlink="Sheet1!H22">
      <xdr:nvSpPr>
        <xdr:cNvPr id="56" name="TextBox 55">
          <a:extLst>
            <a:ext uri="{FF2B5EF4-FFF2-40B4-BE49-F238E27FC236}">
              <a16:creationId xmlns:a16="http://schemas.microsoft.com/office/drawing/2014/main" id="{4E2F15F1-8277-47E9-92BF-5C2A9EAF69ED}"/>
            </a:ext>
          </a:extLst>
        </xdr:cNvPr>
        <xdr:cNvSpPr txBox="1"/>
      </xdr:nvSpPr>
      <xdr:spPr>
        <a:xfrm>
          <a:off x="13529128" y="3675740"/>
          <a:ext cx="1382486" cy="583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DEA691D-662C-4728-AA60-832046A27461}" type="TxLink">
            <a:rPr lang="en-US" sz="900" b="1" i="0" u="none" strike="noStrike">
              <a:solidFill>
                <a:srgbClr val="390058"/>
              </a:solidFill>
              <a:latin typeface="Montserrat"/>
              <a:cs typeface="Calibri"/>
            </a:rPr>
            <a:pPr algn="ctr"/>
            <a:t>Japan</a:t>
          </a:fld>
          <a:endParaRPr lang="en-IN" sz="10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22</xdr:col>
      <xdr:colOff>125185</xdr:colOff>
      <xdr:row>21</xdr:row>
      <xdr:rowOff>7261</xdr:rowOff>
    </xdr:from>
    <xdr:to>
      <xdr:col>24</xdr:col>
      <xdr:colOff>288471</xdr:colOff>
      <xdr:row>24</xdr:row>
      <xdr:rowOff>34475</xdr:rowOff>
    </xdr:to>
    <xdr:sp macro="" textlink="Sheet1!I22">
      <xdr:nvSpPr>
        <xdr:cNvPr id="57" name="TextBox 56">
          <a:extLst>
            <a:ext uri="{FF2B5EF4-FFF2-40B4-BE49-F238E27FC236}">
              <a16:creationId xmlns:a16="http://schemas.microsoft.com/office/drawing/2014/main" id="{7CA27871-D499-4E9B-9FC4-DDE871D93E4A}"/>
            </a:ext>
          </a:extLst>
        </xdr:cNvPr>
        <xdr:cNvSpPr txBox="1"/>
      </xdr:nvSpPr>
      <xdr:spPr>
        <a:xfrm>
          <a:off x="13536385" y="3874411"/>
          <a:ext cx="1382486" cy="579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50AAAD-319F-4DCB-A267-A1A6D79DA003}" type="TxLink">
            <a:rPr lang="en-US" sz="1200" b="1" i="0" u="none" strike="noStrike">
              <a:solidFill>
                <a:srgbClr val="000000"/>
              </a:solidFill>
              <a:latin typeface="Montserrat"/>
              <a:cs typeface="Calibri"/>
            </a:rPr>
            <a:pPr algn="ctr"/>
            <a:t>34000</a:t>
          </a:fld>
          <a:endParaRPr lang="en-IN" sz="20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132745</xdr:colOff>
      <xdr:row>36</xdr:row>
      <xdr:rowOff>133350</xdr:rowOff>
    </xdr:from>
    <xdr:to>
      <xdr:col>11</xdr:col>
      <xdr:colOff>226508</xdr:colOff>
      <xdr:row>41</xdr:row>
      <xdr:rowOff>173869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1F89B48-178C-4940-A57F-B5F86A11B0BD}"/>
            </a:ext>
          </a:extLst>
        </xdr:cNvPr>
        <xdr:cNvSpPr/>
      </xdr:nvSpPr>
      <xdr:spPr>
        <a:xfrm>
          <a:off x="2571145" y="6762750"/>
          <a:ext cx="4360963" cy="961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479865</xdr:colOff>
      <xdr:row>36</xdr:row>
      <xdr:rowOff>133350</xdr:rowOff>
    </xdr:from>
    <xdr:to>
      <xdr:col>18</xdr:col>
      <xdr:colOff>573629</xdr:colOff>
      <xdr:row>41</xdr:row>
      <xdr:rowOff>173869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ACD46CA1-F470-4F38-90F2-E2FBADD90586}"/>
            </a:ext>
          </a:extLst>
        </xdr:cNvPr>
        <xdr:cNvSpPr/>
      </xdr:nvSpPr>
      <xdr:spPr>
        <a:xfrm>
          <a:off x="7185465" y="6762750"/>
          <a:ext cx="4360964" cy="961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213153</xdr:colOff>
      <xdr:row>36</xdr:row>
      <xdr:rowOff>133350</xdr:rowOff>
    </xdr:from>
    <xdr:to>
      <xdr:col>26</xdr:col>
      <xdr:colOff>306916</xdr:colOff>
      <xdr:row>41</xdr:row>
      <xdr:rowOff>173869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9CCFE5F7-BF05-47C2-A0E7-A8611B43900B}"/>
            </a:ext>
          </a:extLst>
        </xdr:cNvPr>
        <xdr:cNvSpPr/>
      </xdr:nvSpPr>
      <xdr:spPr>
        <a:xfrm>
          <a:off x="11795553" y="6762750"/>
          <a:ext cx="4360963" cy="961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19</xdr:col>
      <xdr:colOff>306917</xdr:colOff>
      <xdr:row>38</xdr:row>
      <xdr:rowOff>45568</xdr:rowOff>
    </xdr:from>
    <xdr:to>
      <xdr:col>20</xdr:col>
      <xdr:colOff>89083</xdr:colOff>
      <xdr:row>40</xdr:row>
      <xdr:rowOff>81734</xdr:rowOff>
    </xdr:to>
    <xdr:pic>
      <xdr:nvPicPr>
        <xdr:cNvPr id="61" name="Graphic 60" descr="Downward trend graph">
          <a:extLst>
            <a:ext uri="{FF2B5EF4-FFF2-40B4-BE49-F238E27FC236}">
              <a16:creationId xmlns:a16="http://schemas.microsoft.com/office/drawing/2014/main" id="{7116A2AC-5AA7-4570-8E9E-D2159C394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889317" y="7043268"/>
          <a:ext cx="391766" cy="404466"/>
        </a:xfrm>
        <a:prstGeom prst="rect">
          <a:avLst/>
        </a:prstGeom>
      </xdr:spPr>
    </xdr:pic>
    <xdr:clientData/>
  </xdr:twoCellAnchor>
  <xdr:twoCellAnchor editAs="oneCell">
    <xdr:from>
      <xdr:col>11</xdr:col>
      <xdr:colOff>594500</xdr:colOff>
      <xdr:row>38</xdr:row>
      <xdr:rowOff>45568</xdr:rowOff>
    </xdr:from>
    <xdr:to>
      <xdr:col>12</xdr:col>
      <xdr:colOff>376667</xdr:colOff>
      <xdr:row>40</xdr:row>
      <xdr:rowOff>81734</xdr:rowOff>
    </xdr:to>
    <xdr:pic>
      <xdr:nvPicPr>
        <xdr:cNvPr id="62" name="Graphic 61" descr="Hierarchy">
          <a:extLst>
            <a:ext uri="{FF2B5EF4-FFF2-40B4-BE49-F238E27FC236}">
              <a16:creationId xmlns:a16="http://schemas.microsoft.com/office/drawing/2014/main" id="{0CC8C564-C56D-40D0-B691-ED46FE257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7300100" y="7043268"/>
          <a:ext cx="391767" cy="404466"/>
        </a:xfrm>
        <a:prstGeom prst="rect">
          <a:avLst/>
        </a:prstGeom>
      </xdr:spPr>
    </xdr:pic>
    <xdr:clientData/>
  </xdr:twoCellAnchor>
  <xdr:twoCellAnchor editAs="oneCell">
    <xdr:from>
      <xdr:col>4</xdr:col>
      <xdr:colOff>236501</xdr:colOff>
      <xdr:row>38</xdr:row>
      <xdr:rowOff>45568</xdr:rowOff>
    </xdr:from>
    <xdr:to>
      <xdr:col>5</xdr:col>
      <xdr:colOff>18667</xdr:colOff>
      <xdr:row>40</xdr:row>
      <xdr:rowOff>81734</xdr:rowOff>
    </xdr:to>
    <xdr:pic>
      <xdr:nvPicPr>
        <xdr:cNvPr id="63" name="Graphic 62" descr="Pie chart">
          <a:extLst>
            <a:ext uri="{FF2B5EF4-FFF2-40B4-BE49-F238E27FC236}">
              <a16:creationId xmlns:a16="http://schemas.microsoft.com/office/drawing/2014/main" id="{A92980ED-CB98-4C2D-BA83-3EBC3B104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674901" y="7043268"/>
          <a:ext cx="391766" cy="404466"/>
        </a:xfrm>
        <a:prstGeom prst="rect">
          <a:avLst/>
        </a:prstGeom>
      </xdr:spPr>
    </xdr:pic>
    <xdr:clientData/>
  </xdr:twoCellAnchor>
  <xdr:twoCellAnchor>
    <xdr:from>
      <xdr:col>5</xdr:col>
      <xdr:colOff>148166</xdr:colOff>
      <xdr:row>37</xdr:row>
      <xdr:rowOff>169484</xdr:rowOff>
    </xdr:from>
    <xdr:to>
      <xdr:col>11</xdr:col>
      <xdr:colOff>127000</xdr:colOff>
      <xdr:row>40</xdr:row>
      <xdr:rowOff>137734</xdr:rowOff>
    </xdr:to>
    <xdr:sp macro="" textlink="Sheet1!C34">
      <xdr:nvSpPr>
        <xdr:cNvPr id="64" name="TextBox 63">
          <a:extLst>
            <a:ext uri="{FF2B5EF4-FFF2-40B4-BE49-F238E27FC236}">
              <a16:creationId xmlns:a16="http://schemas.microsoft.com/office/drawing/2014/main" id="{8B387571-C7FB-45A4-A4DE-09F4CFD618BB}"/>
            </a:ext>
          </a:extLst>
        </xdr:cNvPr>
        <xdr:cNvSpPr txBox="1"/>
      </xdr:nvSpPr>
      <xdr:spPr>
        <a:xfrm>
          <a:off x="3196166" y="6983034"/>
          <a:ext cx="3636434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12</xdr:col>
      <xdr:colOff>501650</xdr:colOff>
      <xdr:row>37</xdr:row>
      <xdr:rowOff>169484</xdr:rowOff>
    </xdr:from>
    <xdr:to>
      <xdr:col>18</xdr:col>
      <xdr:colOff>480484</xdr:colOff>
      <xdr:row>40</xdr:row>
      <xdr:rowOff>137734</xdr:rowOff>
    </xdr:to>
    <xdr:sp macro="" textlink="Sheet1!C34">
      <xdr:nvSpPr>
        <xdr:cNvPr id="65" name="TextBox 64">
          <a:extLst>
            <a:ext uri="{FF2B5EF4-FFF2-40B4-BE49-F238E27FC236}">
              <a16:creationId xmlns:a16="http://schemas.microsoft.com/office/drawing/2014/main" id="{1D140B84-5901-40D6-8E0C-9EDF2123D3ED}"/>
            </a:ext>
          </a:extLst>
        </xdr:cNvPr>
        <xdr:cNvSpPr txBox="1"/>
      </xdr:nvSpPr>
      <xdr:spPr>
        <a:xfrm>
          <a:off x="7816850" y="6983034"/>
          <a:ext cx="3636434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20</xdr:col>
      <xdr:colOff>177800</xdr:colOff>
      <xdr:row>37</xdr:row>
      <xdr:rowOff>169484</xdr:rowOff>
    </xdr:from>
    <xdr:to>
      <xdr:col>26</xdr:col>
      <xdr:colOff>156634</xdr:colOff>
      <xdr:row>40</xdr:row>
      <xdr:rowOff>137734</xdr:rowOff>
    </xdr:to>
    <xdr:sp macro="" textlink="Sheet1!C34">
      <xdr:nvSpPr>
        <xdr:cNvPr id="66" name="TextBox 65">
          <a:extLst>
            <a:ext uri="{FF2B5EF4-FFF2-40B4-BE49-F238E27FC236}">
              <a16:creationId xmlns:a16="http://schemas.microsoft.com/office/drawing/2014/main" id="{74B87C38-E255-401C-B523-F2B79DB967D6}"/>
            </a:ext>
          </a:extLst>
        </xdr:cNvPr>
        <xdr:cNvSpPr txBox="1"/>
      </xdr:nvSpPr>
      <xdr:spPr>
        <a:xfrm>
          <a:off x="12369800" y="6983034"/>
          <a:ext cx="3636434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6</xdr:col>
      <xdr:colOff>445787</xdr:colOff>
      <xdr:row>8</xdr:row>
      <xdr:rowOff>152927</xdr:rowOff>
    </xdr:from>
    <xdr:to>
      <xdr:col>7</xdr:col>
      <xdr:colOff>188930</xdr:colOff>
      <xdr:row>9</xdr:row>
      <xdr:rowOff>9010</xdr:rowOff>
    </xdr:to>
    <xdr:sp macro="" textlink="">
      <xdr:nvSpPr>
        <xdr:cNvPr id="67" name="Rectangle: Rounded Corners 66">
          <a:extLst>
            <a:ext uri="{FF2B5EF4-FFF2-40B4-BE49-F238E27FC236}">
              <a16:creationId xmlns:a16="http://schemas.microsoft.com/office/drawing/2014/main" id="{59B24121-4F7A-4C1B-B4D0-23FC0C3A752D}"/>
            </a:ext>
          </a:extLst>
        </xdr:cNvPr>
        <xdr:cNvSpPr/>
      </xdr:nvSpPr>
      <xdr:spPr>
        <a:xfrm rot="5400000">
          <a:off x="4259642" y="1469872"/>
          <a:ext cx="40233" cy="352743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428854</xdr:colOff>
      <xdr:row>23</xdr:row>
      <xdr:rowOff>83077</xdr:rowOff>
    </xdr:from>
    <xdr:to>
      <xdr:col>7</xdr:col>
      <xdr:colOff>171997</xdr:colOff>
      <xdr:row>23</xdr:row>
      <xdr:rowOff>119077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B8E33AE7-EA3E-4152-A7FF-A0BA41A8AA4D}"/>
            </a:ext>
          </a:extLst>
        </xdr:cNvPr>
        <xdr:cNvSpPr/>
      </xdr:nvSpPr>
      <xdr:spPr>
        <a:xfrm rot="5400000">
          <a:off x="4244826" y="4160155"/>
          <a:ext cx="36000" cy="352743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274338</xdr:colOff>
      <xdr:row>23</xdr:row>
      <xdr:rowOff>87310</xdr:rowOff>
    </xdr:from>
    <xdr:to>
      <xdr:col>14</xdr:col>
      <xdr:colOff>17480</xdr:colOff>
      <xdr:row>23</xdr:row>
      <xdr:rowOff>123310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200A62C4-D3DA-4ADA-ADB8-E8DA850B5838}"/>
            </a:ext>
          </a:extLst>
        </xdr:cNvPr>
        <xdr:cNvSpPr/>
      </xdr:nvSpPr>
      <xdr:spPr>
        <a:xfrm rot="5400000">
          <a:off x="8357509" y="4164389"/>
          <a:ext cx="36000" cy="352742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289155</xdr:colOff>
      <xdr:row>8</xdr:row>
      <xdr:rowOff>152927</xdr:rowOff>
    </xdr:from>
    <xdr:to>
      <xdr:col>14</xdr:col>
      <xdr:colOff>32297</xdr:colOff>
      <xdr:row>9</xdr:row>
      <xdr:rowOff>9010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71FE7397-793F-4344-8CF0-3637903E7804}"/>
            </a:ext>
          </a:extLst>
        </xdr:cNvPr>
        <xdr:cNvSpPr/>
      </xdr:nvSpPr>
      <xdr:spPr>
        <a:xfrm rot="5400000">
          <a:off x="8370209" y="1469873"/>
          <a:ext cx="40233" cy="352742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81721</xdr:colOff>
      <xdr:row>8</xdr:row>
      <xdr:rowOff>152927</xdr:rowOff>
    </xdr:from>
    <xdr:to>
      <xdr:col>20</xdr:col>
      <xdr:colOff>438697</xdr:colOff>
      <xdr:row>9</xdr:row>
      <xdr:rowOff>9010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8B0D3575-3A66-4886-9881-8C8AFB34E386}"/>
            </a:ext>
          </a:extLst>
        </xdr:cNvPr>
        <xdr:cNvSpPr/>
      </xdr:nvSpPr>
      <xdr:spPr>
        <a:xfrm rot="5400000">
          <a:off x="12432092" y="1467756"/>
          <a:ext cx="40233" cy="356976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225608</xdr:colOff>
      <xdr:row>7</xdr:row>
      <xdr:rowOff>158422</xdr:rowOff>
    </xdr:from>
    <xdr:to>
      <xdr:col>12</xdr:col>
      <xdr:colOff>362710</xdr:colOff>
      <xdr:row>30</xdr:row>
      <xdr:rowOff>161494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B4E1331E-FB7C-49F8-BDD6-7D043C1BD10C}"/>
            </a:ext>
          </a:extLst>
        </xdr:cNvPr>
        <xdr:cNvSpPr/>
      </xdr:nvSpPr>
      <xdr:spPr>
        <a:xfrm>
          <a:off x="225608" y="1447472"/>
          <a:ext cx="7452302" cy="4238522"/>
        </a:xfrm>
        <a:custGeom>
          <a:avLst/>
          <a:gdLst>
            <a:gd name="connsiteX0" fmla="*/ 10249 w 7430531"/>
            <a:gd name="connsiteY0" fmla="*/ 3842078 h 4175929"/>
            <a:gd name="connsiteX1" fmla="*/ 717821 w 7430531"/>
            <a:gd name="connsiteY1" fmla="*/ 1202292 h 4175929"/>
            <a:gd name="connsiteX2" fmla="*/ 4137749 w 7430531"/>
            <a:gd name="connsiteY2" fmla="*/ 13935 h 4175929"/>
            <a:gd name="connsiteX3" fmla="*/ 7294606 w 7430531"/>
            <a:gd name="connsiteY3" fmla="*/ 1918935 h 4175929"/>
            <a:gd name="connsiteX4" fmla="*/ 6260463 w 7430531"/>
            <a:gd name="connsiteY4" fmla="*/ 3524578 h 4175929"/>
            <a:gd name="connsiteX5" fmla="*/ 971821 w 7430531"/>
            <a:gd name="connsiteY5" fmla="*/ 4105149 h 4175929"/>
            <a:gd name="connsiteX6" fmla="*/ 10249 w 7430531"/>
            <a:gd name="connsiteY6" fmla="*/ 3842078 h 4175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7430531" h="4175929">
              <a:moveTo>
                <a:pt x="10249" y="3842078"/>
              </a:moveTo>
              <a:cubicBezTo>
                <a:pt x="-32084" y="3358268"/>
                <a:pt x="29904" y="1840316"/>
                <a:pt x="717821" y="1202292"/>
              </a:cubicBezTo>
              <a:cubicBezTo>
                <a:pt x="1405738" y="564268"/>
                <a:pt x="3041618" y="-105506"/>
                <a:pt x="4137749" y="13935"/>
              </a:cubicBezTo>
              <a:cubicBezTo>
                <a:pt x="5233880" y="133375"/>
                <a:pt x="6940820" y="1333828"/>
                <a:pt x="7294606" y="1918935"/>
              </a:cubicBezTo>
              <a:cubicBezTo>
                <a:pt x="7648392" y="2504042"/>
                <a:pt x="7314261" y="3160209"/>
                <a:pt x="6260463" y="3524578"/>
              </a:cubicBezTo>
              <a:cubicBezTo>
                <a:pt x="5206666" y="3888947"/>
                <a:pt x="2008988" y="4053744"/>
                <a:pt x="971821" y="4105149"/>
              </a:cubicBezTo>
              <a:cubicBezTo>
                <a:pt x="-65346" y="4156554"/>
                <a:pt x="52582" y="4325888"/>
                <a:pt x="10249" y="3842078"/>
              </a:cubicBezTo>
              <a:close/>
            </a:path>
          </a:pathLst>
        </a:custGeom>
        <a:solidFill>
          <a:srgbClr val="9966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171743</xdr:colOff>
      <xdr:row>9</xdr:row>
      <xdr:rowOff>10798</xdr:rowOff>
    </xdr:from>
    <xdr:to>
      <xdr:col>31</xdr:col>
      <xdr:colOff>366281</xdr:colOff>
      <xdr:row>46</xdr:row>
      <xdr:rowOff>40240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426ADBCD-053B-4967-AAEB-DEC276151787}"/>
            </a:ext>
          </a:extLst>
        </xdr:cNvPr>
        <xdr:cNvSpPr/>
      </xdr:nvSpPr>
      <xdr:spPr>
        <a:xfrm rot="9557275">
          <a:off x="8706143" y="1668148"/>
          <a:ext cx="10557738" cy="6842992"/>
        </a:xfrm>
        <a:custGeom>
          <a:avLst/>
          <a:gdLst>
            <a:gd name="connsiteX0" fmla="*/ 10249 w 7430531"/>
            <a:gd name="connsiteY0" fmla="*/ 3842078 h 4175929"/>
            <a:gd name="connsiteX1" fmla="*/ 717821 w 7430531"/>
            <a:gd name="connsiteY1" fmla="*/ 1202292 h 4175929"/>
            <a:gd name="connsiteX2" fmla="*/ 4137749 w 7430531"/>
            <a:gd name="connsiteY2" fmla="*/ 13935 h 4175929"/>
            <a:gd name="connsiteX3" fmla="*/ 7294606 w 7430531"/>
            <a:gd name="connsiteY3" fmla="*/ 1918935 h 4175929"/>
            <a:gd name="connsiteX4" fmla="*/ 6260463 w 7430531"/>
            <a:gd name="connsiteY4" fmla="*/ 3524578 h 4175929"/>
            <a:gd name="connsiteX5" fmla="*/ 971821 w 7430531"/>
            <a:gd name="connsiteY5" fmla="*/ 4105149 h 4175929"/>
            <a:gd name="connsiteX6" fmla="*/ 10249 w 7430531"/>
            <a:gd name="connsiteY6" fmla="*/ 3842078 h 4175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7430531" h="4175929">
              <a:moveTo>
                <a:pt x="10249" y="3842078"/>
              </a:moveTo>
              <a:cubicBezTo>
                <a:pt x="-32084" y="3358268"/>
                <a:pt x="29904" y="1840316"/>
                <a:pt x="717821" y="1202292"/>
              </a:cubicBezTo>
              <a:cubicBezTo>
                <a:pt x="1405738" y="564268"/>
                <a:pt x="3041618" y="-105506"/>
                <a:pt x="4137749" y="13935"/>
              </a:cubicBezTo>
              <a:cubicBezTo>
                <a:pt x="5233880" y="133375"/>
                <a:pt x="6940820" y="1333828"/>
                <a:pt x="7294606" y="1918935"/>
              </a:cubicBezTo>
              <a:cubicBezTo>
                <a:pt x="7648392" y="2504042"/>
                <a:pt x="7314261" y="3160209"/>
                <a:pt x="6260463" y="3524578"/>
              </a:cubicBezTo>
              <a:cubicBezTo>
                <a:pt x="5206666" y="3888947"/>
                <a:pt x="2008988" y="4053744"/>
                <a:pt x="971821" y="4105149"/>
              </a:cubicBezTo>
              <a:cubicBezTo>
                <a:pt x="-65346" y="4156554"/>
                <a:pt x="52582" y="4325888"/>
                <a:pt x="10249" y="3842078"/>
              </a:cubicBezTo>
              <a:close/>
            </a:path>
          </a:pathLst>
        </a:cu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254000</xdr:colOff>
      <xdr:row>2</xdr:row>
      <xdr:rowOff>136070</xdr:rowOff>
    </xdr:from>
    <xdr:to>
      <xdr:col>27</xdr:col>
      <xdr:colOff>181428</xdr:colOff>
      <xdr:row>43</xdr:row>
      <xdr:rowOff>95249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3BE0563-B5B1-4720-940D-DB27C1ACBF34}"/>
            </a:ext>
          </a:extLst>
        </xdr:cNvPr>
        <xdr:cNvSpPr/>
      </xdr:nvSpPr>
      <xdr:spPr>
        <a:xfrm>
          <a:off x="1473200" y="504370"/>
          <a:ext cx="15167428" cy="750932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255815</xdr:colOff>
      <xdr:row>5</xdr:row>
      <xdr:rowOff>157539</xdr:rowOff>
    </xdr:from>
    <xdr:to>
      <xdr:col>27</xdr:col>
      <xdr:colOff>181428</xdr:colOff>
      <xdr:row>43</xdr:row>
      <xdr:rowOff>95249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C2AF644-F8BA-49CB-B726-CCA56447B73D}"/>
            </a:ext>
          </a:extLst>
        </xdr:cNvPr>
        <xdr:cNvSpPr/>
      </xdr:nvSpPr>
      <xdr:spPr>
        <a:xfrm>
          <a:off x="2084615" y="1078289"/>
          <a:ext cx="14556013" cy="693541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381000</xdr:colOff>
      <xdr:row>16</xdr:row>
      <xdr:rowOff>152697</xdr:rowOff>
    </xdr:from>
    <xdr:to>
      <xdr:col>3</xdr:col>
      <xdr:colOff>117930</xdr:colOff>
      <xdr:row>18</xdr:row>
      <xdr:rowOff>134556</xdr:rowOff>
    </xdr:to>
    <xdr:sp macro="" textlink="">
      <xdr:nvSpPr>
        <xdr:cNvPr id="6" name="Teardrop 5">
          <a:extLst>
            <a:ext uri="{FF2B5EF4-FFF2-40B4-BE49-F238E27FC236}">
              <a16:creationId xmlns:a16="http://schemas.microsoft.com/office/drawing/2014/main" id="{A3ECB5E5-A395-4F6D-9BA0-BDF7A7CD543E}"/>
            </a:ext>
          </a:extLst>
        </xdr:cNvPr>
        <xdr:cNvSpPr/>
      </xdr:nvSpPr>
      <xdr:spPr>
        <a:xfrm>
          <a:off x="1608667" y="3031364"/>
          <a:ext cx="350763" cy="341692"/>
        </a:xfrm>
        <a:prstGeom prst="teardrop">
          <a:avLst/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417928</xdr:colOff>
      <xdr:row>12</xdr:row>
      <xdr:rowOff>72572</xdr:rowOff>
    </xdr:from>
    <xdr:to>
      <xdr:col>3</xdr:col>
      <xdr:colOff>94034</xdr:colOff>
      <xdr:row>13</xdr:row>
      <xdr:rowOff>174101</xdr:rowOff>
    </xdr:to>
    <xdr:pic>
      <xdr:nvPicPr>
        <xdr:cNvPr id="8" name="Graphic 7" descr="Address 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BBD4AE-28E2-4663-8D6C-A01D2D4AD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45595" y="2231572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14</xdr:row>
      <xdr:rowOff>120737</xdr:rowOff>
    </xdr:from>
    <xdr:to>
      <xdr:col>3</xdr:col>
      <xdr:colOff>94034</xdr:colOff>
      <xdr:row>16</xdr:row>
      <xdr:rowOff>42349</xdr:rowOff>
    </xdr:to>
    <xdr:pic>
      <xdr:nvPicPr>
        <xdr:cNvPr id="9" name="Graphic 8" descr="Ato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AE7CA72-F4A1-406C-A90B-E5A260D46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645595" y="2639570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16</xdr:row>
      <xdr:rowOff>168902</xdr:rowOff>
    </xdr:from>
    <xdr:to>
      <xdr:col>3</xdr:col>
      <xdr:colOff>94034</xdr:colOff>
      <xdr:row>18</xdr:row>
      <xdr:rowOff>90515</xdr:rowOff>
    </xdr:to>
    <xdr:pic>
      <xdr:nvPicPr>
        <xdr:cNvPr id="10" name="Graphic 9" descr="Bank check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9B617BD-FA7D-4942-BC8B-054E3481E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5595" y="3047569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19</xdr:row>
      <xdr:rowOff>37150</xdr:rowOff>
    </xdr:from>
    <xdr:to>
      <xdr:col>3</xdr:col>
      <xdr:colOff>94034</xdr:colOff>
      <xdr:row>20</xdr:row>
      <xdr:rowOff>138680</xdr:rowOff>
    </xdr:to>
    <xdr:pic>
      <xdr:nvPicPr>
        <xdr:cNvPr id="11" name="Graphic 10" descr="Beetl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8386D54-488B-479C-9D06-DB369513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645595" y="3455567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21</xdr:row>
      <xdr:rowOff>85315</xdr:rowOff>
    </xdr:from>
    <xdr:to>
      <xdr:col>3</xdr:col>
      <xdr:colOff>94034</xdr:colOff>
      <xdr:row>23</xdr:row>
      <xdr:rowOff>6928</xdr:rowOff>
    </xdr:to>
    <xdr:pic>
      <xdr:nvPicPr>
        <xdr:cNvPr id="12" name="Graphic 11" descr="Bell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A6D986E-E562-49F8-A64D-115514828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645595" y="3863565"/>
          <a:ext cx="289939" cy="281446"/>
        </a:xfrm>
        <a:prstGeom prst="rect">
          <a:avLst/>
        </a:prstGeom>
      </xdr:spPr>
    </xdr:pic>
    <xdr:clientData/>
  </xdr:twoCellAnchor>
  <xdr:twoCellAnchor>
    <xdr:from>
      <xdr:col>23</xdr:col>
      <xdr:colOff>417286</xdr:colOff>
      <xdr:row>3</xdr:row>
      <xdr:rowOff>63498</xdr:rowOff>
    </xdr:from>
    <xdr:to>
      <xdr:col>26</xdr:col>
      <xdr:colOff>444500</xdr:colOff>
      <xdr:row>5</xdr:row>
      <xdr:rowOff>45356</xdr:rowOff>
    </xdr:to>
    <xdr:sp macro="" textlink="Sheet1!B3">
      <xdr:nvSpPr>
        <xdr:cNvPr id="13" name="Rectangle: Rounded Corners 12">
          <a:extLst>
            <a:ext uri="{FF2B5EF4-FFF2-40B4-BE49-F238E27FC236}">
              <a16:creationId xmlns:a16="http://schemas.microsoft.com/office/drawing/2014/main" id="{9E6FFBCA-3AC3-40E8-A7B4-0CED24E814DF}"/>
            </a:ext>
          </a:extLst>
        </xdr:cNvPr>
        <xdr:cNvSpPr/>
      </xdr:nvSpPr>
      <xdr:spPr>
        <a:xfrm>
          <a:off x="14438086" y="615948"/>
          <a:ext cx="1856014" cy="350158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9966FF"/>
            </a:gs>
            <a:gs pos="100000">
              <a:srgbClr val="390058"/>
            </a:gs>
            <a:gs pos="44000">
              <a:srgbClr val="390058"/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0FAEF080-0D45-4A20-BAAD-775542B29B10}" type="TxLink">
            <a:rPr lang="en-US" sz="900" b="0" i="0" u="none" strike="noStrike">
              <a:solidFill>
                <a:schemeClr val="bg1"/>
              </a:solidFill>
              <a:latin typeface="Montserrat"/>
              <a:ea typeface="+mn-ea"/>
              <a:cs typeface="+mn-cs"/>
            </a:rPr>
            <a:pPr marL="0" indent="0" algn="ctr"/>
            <a:t>Quarterly Report</a:t>
          </a:fld>
          <a:endParaRPr lang="en-IN" sz="1000" b="0" i="0" u="none" strike="noStrike">
            <a:solidFill>
              <a:schemeClr val="bg1"/>
            </a:solidFill>
            <a:latin typeface="Montserra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252186</xdr:colOff>
      <xdr:row>3</xdr:row>
      <xdr:rowOff>63498</xdr:rowOff>
    </xdr:from>
    <xdr:to>
      <xdr:col>23</xdr:col>
      <xdr:colOff>279401</xdr:colOff>
      <xdr:row>5</xdr:row>
      <xdr:rowOff>45356</xdr:rowOff>
    </xdr:to>
    <xdr:sp macro="" textlink="Sheet1!B2">
      <xdr:nvSpPr>
        <xdr:cNvPr id="14" name="Rectangle: Rounded Corners 13">
          <a:extLst>
            <a:ext uri="{FF2B5EF4-FFF2-40B4-BE49-F238E27FC236}">
              <a16:creationId xmlns:a16="http://schemas.microsoft.com/office/drawing/2014/main" id="{829FB15A-4AC9-4763-B20E-ECE1DCE05784}"/>
            </a:ext>
          </a:extLst>
        </xdr:cNvPr>
        <xdr:cNvSpPr/>
      </xdr:nvSpPr>
      <xdr:spPr>
        <a:xfrm>
          <a:off x="12444186" y="615948"/>
          <a:ext cx="1856015" cy="350158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9966FF"/>
            </a:gs>
            <a:gs pos="100000">
              <a:srgbClr val="390058"/>
            </a:gs>
            <a:gs pos="44000">
              <a:srgbClr val="390058"/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A6DA619-8CDB-4AB8-9268-8BD4C18C5D2F}" type="TxLink">
            <a:rPr lang="en-US" sz="900" b="0" i="0" u="none" strike="noStrike">
              <a:solidFill>
                <a:schemeClr val="bg1"/>
              </a:solidFill>
              <a:latin typeface="Montserrat"/>
              <a:ea typeface="+mn-ea"/>
              <a:cs typeface="+mn-cs"/>
            </a:rPr>
            <a:pPr marL="0" indent="0" algn="ctr"/>
            <a:t>1st Jun - 15th Sep</a:t>
          </a:fld>
          <a:endParaRPr lang="en-IN" sz="12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281214</xdr:colOff>
      <xdr:row>3</xdr:row>
      <xdr:rowOff>72571</xdr:rowOff>
    </xdr:from>
    <xdr:to>
      <xdr:col>11</xdr:col>
      <xdr:colOff>36286</xdr:colOff>
      <xdr:row>5</xdr:row>
      <xdr:rowOff>36286</xdr:rowOff>
    </xdr:to>
    <xdr:sp macro="" textlink="Sheet1!B1">
      <xdr:nvSpPr>
        <xdr:cNvPr id="15" name="TextBox 14">
          <a:extLst>
            <a:ext uri="{FF2B5EF4-FFF2-40B4-BE49-F238E27FC236}">
              <a16:creationId xmlns:a16="http://schemas.microsoft.com/office/drawing/2014/main" id="{D0460D5D-C37D-4206-958E-466FB9886C87}"/>
            </a:ext>
          </a:extLst>
        </xdr:cNvPr>
        <xdr:cNvSpPr txBox="1"/>
      </xdr:nvSpPr>
      <xdr:spPr>
        <a:xfrm>
          <a:off x="2110014" y="625021"/>
          <a:ext cx="4631872" cy="332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D76DF08B-6F96-4F8A-8194-AB7B8DB72D55}" type="TxLink">
            <a:rPr lang="en-US" sz="1100" b="0" i="0" u="none" strike="noStrike">
              <a:solidFill>
                <a:srgbClr val="390058"/>
              </a:solidFill>
              <a:latin typeface="Montserrat Medium" panose="00000600000000000000" pitchFamily="2" charset="0"/>
              <a:cs typeface="Calibri"/>
            </a:rPr>
            <a:pPr algn="l"/>
            <a:t>Performance Analytics Dashboard</a:t>
          </a:fld>
          <a:endParaRPr lang="en-IN" sz="1200" b="0" i="0" u="none" strike="noStrike">
            <a:solidFill>
              <a:srgbClr val="390058"/>
            </a:solidFill>
            <a:latin typeface="Montserrat Medium" panose="00000600000000000000" pitchFamily="2" charset="0"/>
            <a:cs typeface="Calibri"/>
          </a:endParaRPr>
        </a:p>
      </xdr:txBody>
    </xdr:sp>
    <xdr:clientData/>
  </xdr:twoCellAnchor>
  <xdr:twoCellAnchor>
    <xdr:from>
      <xdr:col>2</xdr:col>
      <xdr:colOff>351973</xdr:colOff>
      <xdr:row>3</xdr:row>
      <xdr:rowOff>18142</xdr:rowOff>
    </xdr:from>
    <xdr:to>
      <xdr:col>3</xdr:col>
      <xdr:colOff>217275</xdr:colOff>
      <xdr:row>5</xdr:row>
      <xdr:rowOff>163288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F16D9F97-5A94-4B8C-88E0-C3A5C53E1580}"/>
            </a:ext>
          </a:extLst>
        </xdr:cNvPr>
        <xdr:cNvGrpSpPr/>
      </xdr:nvGrpSpPr>
      <xdr:grpSpPr>
        <a:xfrm>
          <a:off x="1545773" y="551542"/>
          <a:ext cx="462202" cy="500746"/>
          <a:chOff x="1721757" y="751115"/>
          <a:chExt cx="491673" cy="527960"/>
        </a:xfrm>
      </xdr:grpSpPr>
      <xdr:sp macro="" textlink="">
        <xdr:nvSpPr>
          <xdr:cNvPr id="17" name="Teardrop 16">
            <a:extLst>
              <a:ext uri="{FF2B5EF4-FFF2-40B4-BE49-F238E27FC236}">
                <a16:creationId xmlns:a16="http://schemas.microsoft.com/office/drawing/2014/main" id="{2931FB6B-E856-46DF-ADF0-872BDFAD148E}"/>
              </a:ext>
            </a:extLst>
          </xdr:cNvPr>
          <xdr:cNvSpPr/>
        </xdr:nvSpPr>
        <xdr:spPr>
          <a:xfrm>
            <a:off x="1721757" y="751115"/>
            <a:ext cx="453571" cy="453571"/>
          </a:xfrm>
          <a:prstGeom prst="teardrop">
            <a:avLst/>
          </a:prstGeom>
          <a:solidFill>
            <a:srgbClr val="9966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8" name="Teardrop 17">
            <a:extLst>
              <a:ext uri="{FF2B5EF4-FFF2-40B4-BE49-F238E27FC236}">
                <a16:creationId xmlns:a16="http://schemas.microsoft.com/office/drawing/2014/main" id="{5308ECC2-BF2A-411D-9715-63C60D60CCC1}"/>
              </a:ext>
            </a:extLst>
          </xdr:cNvPr>
          <xdr:cNvSpPr/>
        </xdr:nvSpPr>
        <xdr:spPr>
          <a:xfrm>
            <a:off x="1759859" y="825504"/>
            <a:ext cx="453571" cy="453571"/>
          </a:xfrm>
          <a:prstGeom prst="teardrop">
            <a:avLst/>
          </a:prstGeom>
          <a:gradFill flip="none" rotWithShape="1">
            <a:gsLst>
              <a:gs pos="0">
                <a:srgbClr val="9966FF"/>
              </a:gs>
              <a:gs pos="100000">
                <a:srgbClr val="390058"/>
              </a:gs>
              <a:gs pos="44000">
                <a:srgbClr val="390058"/>
              </a:gs>
            </a:gsLst>
            <a:lin ang="2700000" scaled="1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3</xdr:col>
      <xdr:colOff>317501</xdr:colOff>
      <xdr:row>16</xdr:row>
      <xdr:rowOff>143627</xdr:rowOff>
    </xdr:from>
    <xdr:to>
      <xdr:col>3</xdr:col>
      <xdr:colOff>353501</xdr:colOff>
      <xdr:row>18</xdr:row>
      <xdr:rowOff>140770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B8CA5C81-CCA9-45E5-AA70-540C12210C02}"/>
            </a:ext>
          </a:extLst>
        </xdr:cNvPr>
        <xdr:cNvSpPr/>
      </xdr:nvSpPr>
      <xdr:spPr>
        <a:xfrm>
          <a:off x="2159001" y="3022294"/>
          <a:ext cx="36000" cy="356976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117929</xdr:colOff>
      <xdr:row>7</xdr:row>
      <xdr:rowOff>18142</xdr:rowOff>
    </xdr:from>
    <xdr:to>
      <xdr:col>6</xdr:col>
      <xdr:colOff>54430</xdr:colOff>
      <xdr:row>35</xdr:row>
      <xdr:rowOff>54428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385C108-005F-4573-94F1-44C5854813E1}"/>
            </a:ext>
          </a:extLst>
        </xdr:cNvPr>
        <xdr:cNvSpPr/>
      </xdr:nvSpPr>
      <xdr:spPr>
        <a:xfrm>
          <a:off x="2556329" y="1307192"/>
          <a:ext cx="1155701" cy="519248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254902</xdr:colOff>
      <xdr:row>8</xdr:row>
      <xdr:rowOff>119743</xdr:rowOff>
    </xdr:from>
    <xdr:to>
      <xdr:col>5</xdr:col>
      <xdr:colOff>544397</xdr:colOff>
      <xdr:row>9</xdr:row>
      <xdr:rowOff>147390</xdr:rowOff>
    </xdr:to>
    <xdr:sp macro="" textlink="Sheet1!C21">
      <xdr:nvSpPr>
        <xdr:cNvPr id="21" name="TextBox 20">
          <a:extLst>
            <a:ext uri="{FF2B5EF4-FFF2-40B4-BE49-F238E27FC236}">
              <a16:creationId xmlns:a16="http://schemas.microsoft.com/office/drawing/2014/main" id="{1FB4415C-725C-483D-920F-C00330A3F0F5}"/>
            </a:ext>
          </a:extLst>
        </xdr:cNvPr>
        <xdr:cNvSpPr txBox="1"/>
      </xdr:nvSpPr>
      <xdr:spPr>
        <a:xfrm>
          <a:off x="2693302" y="1592943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45427325-9F4F-45FF-A346-255B4FCE87D4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Visits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9</xdr:row>
      <xdr:rowOff>88470</xdr:rowOff>
    </xdr:from>
    <xdr:to>
      <xdr:col>5</xdr:col>
      <xdr:colOff>541678</xdr:colOff>
      <xdr:row>10</xdr:row>
      <xdr:rowOff>116116</xdr:rowOff>
    </xdr:to>
    <xdr:sp macro="" textlink="Sheet1!D21">
      <xdr:nvSpPr>
        <xdr:cNvPr id="22" name="TextBox 21">
          <a:extLst>
            <a:ext uri="{FF2B5EF4-FFF2-40B4-BE49-F238E27FC236}">
              <a16:creationId xmlns:a16="http://schemas.microsoft.com/office/drawing/2014/main" id="{896E1401-68A2-42E5-A26C-C4B604986924}"/>
            </a:ext>
          </a:extLst>
        </xdr:cNvPr>
        <xdr:cNvSpPr txBox="1"/>
      </xdr:nvSpPr>
      <xdr:spPr>
        <a:xfrm>
          <a:off x="2690583" y="1745820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7AF8DCC1-F749-46B2-8E23-83D708A61C32}" type="TxLink">
            <a:rPr lang="en-US" sz="1000" b="1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65 800</a:t>
          </a:fld>
          <a:endParaRPr lang="en-IN" sz="105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11</xdr:row>
      <xdr:rowOff>35077</xdr:rowOff>
    </xdr:from>
    <xdr:to>
      <xdr:col>5</xdr:col>
      <xdr:colOff>544397</xdr:colOff>
      <xdr:row>12</xdr:row>
      <xdr:rowOff>62723</xdr:rowOff>
    </xdr:to>
    <xdr:sp macro="" textlink="Sheet1!C22">
      <xdr:nvSpPr>
        <xdr:cNvPr id="23" name="TextBox 22">
          <a:extLst>
            <a:ext uri="{FF2B5EF4-FFF2-40B4-BE49-F238E27FC236}">
              <a16:creationId xmlns:a16="http://schemas.microsoft.com/office/drawing/2014/main" id="{0D37DF0B-0C2C-4D14-8AFC-4D8CA3B454DC}"/>
            </a:ext>
          </a:extLst>
        </xdr:cNvPr>
        <xdr:cNvSpPr txBox="1"/>
      </xdr:nvSpPr>
      <xdr:spPr>
        <a:xfrm>
          <a:off x="2693302" y="2060727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DB4994B-D64B-449B-9D2E-5C7C5D5E27F6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Page Views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12</xdr:row>
      <xdr:rowOff>3803</xdr:rowOff>
    </xdr:from>
    <xdr:to>
      <xdr:col>5</xdr:col>
      <xdr:colOff>541678</xdr:colOff>
      <xdr:row>13</xdr:row>
      <xdr:rowOff>31450</xdr:rowOff>
    </xdr:to>
    <xdr:sp macro="" textlink="Sheet1!D22">
      <xdr:nvSpPr>
        <xdr:cNvPr id="24" name="TextBox 23">
          <a:extLst>
            <a:ext uri="{FF2B5EF4-FFF2-40B4-BE49-F238E27FC236}">
              <a16:creationId xmlns:a16="http://schemas.microsoft.com/office/drawing/2014/main" id="{6DB7FD96-3ECB-409F-B578-B26DE745B3F1}"/>
            </a:ext>
          </a:extLst>
        </xdr:cNvPr>
        <xdr:cNvSpPr txBox="1"/>
      </xdr:nvSpPr>
      <xdr:spPr>
        <a:xfrm>
          <a:off x="2690583" y="2213603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FB362E6-7109-4C94-BFB3-6CDE56B12D02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100 480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13</xdr:row>
      <xdr:rowOff>131839</xdr:rowOff>
    </xdr:from>
    <xdr:to>
      <xdr:col>5</xdr:col>
      <xdr:colOff>544397</xdr:colOff>
      <xdr:row>14</xdr:row>
      <xdr:rowOff>159485</xdr:rowOff>
    </xdr:to>
    <xdr:sp macro="" textlink="Sheet1!C23">
      <xdr:nvSpPr>
        <xdr:cNvPr id="25" name="TextBox 24">
          <a:extLst>
            <a:ext uri="{FF2B5EF4-FFF2-40B4-BE49-F238E27FC236}">
              <a16:creationId xmlns:a16="http://schemas.microsoft.com/office/drawing/2014/main" id="{C8824571-578F-440A-B681-B7B407FA6123}"/>
            </a:ext>
          </a:extLst>
        </xdr:cNvPr>
        <xdr:cNvSpPr txBox="1"/>
      </xdr:nvSpPr>
      <xdr:spPr>
        <a:xfrm>
          <a:off x="2693302" y="2525789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4F4D1ECD-53BF-4EA3-AC1D-8A83292BD409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Bounce Rate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14</xdr:row>
      <xdr:rowOff>100565</xdr:rowOff>
    </xdr:from>
    <xdr:to>
      <xdr:col>5</xdr:col>
      <xdr:colOff>541678</xdr:colOff>
      <xdr:row>15</xdr:row>
      <xdr:rowOff>128211</xdr:rowOff>
    </xdr:to>
    <xdr:sp macro="" textlink="Sheet1!D23">
      <xdr:nvSpPr>
        <xdr:cNvPr id="26" name="TextBox 25">
          <a:extLst>
            <a:ext uri="{FF2B5EF4-FFF2-40B4-BE49-F238E27FC236}">
              <a16:creationId xmlns:a16="http://schemas.microsoft.com/office/drawing/2014/main" id="{DF0221C7-9472-4645-96CE-909F410EE052}"/>
            </a:ext>
          </a:extLst>
        </xdr:cNvPr>
        <xdr:cNvSpPr txBox="1"/>
      </xdr:nvSpPr>
      <xdr:spPr>
        <a:xfrm>
          <a:off x="2690583" y="2678665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A9D1424-E58E-4A1D-AAF0-D58EECBFB925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45%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16</xdr:row>
      <xdr:rowOff>47172</xdr:rowOff>
    </xdr:from>
    <xdr:to>
      <xdr:col>5</xdr:col>
      <xdr:colOff>544397</xdr:colOff>
      <xdr:row>17</xdr:row>
      <xdr:rowOff>74818</xdr:rowOff>
    </xdr:to>
    <xdr:sp macro="" textlink="Sheet1!C24">
      <xdr:nvSpPr>
        <xdr:cNvPr id="27" name="TextBox 26">
          <a:extLst>
            <a:ext uri="{FF2B5EF4-FFF2-40B4-BE49-F238E27FC236}">
              <a16:creationId xmlns:a16="http://schemas.microsoft.com/office/drawing/2014/main" id="{5C7AF719-CE41-4C2A-A839-8A054599CA12}"/>
            </a:ext>
          </a:extLst>
        </xdr:cNvPr>
        <xdr:cNvSpPr txBox="1"/>
      </xdr:nvSpPr>
      <xdr:spPr>
        <a:xfrm>
          <a:off x="2693302" y="2993572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7113FD0-93D4-44F4-80F3-773230FC75F1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Exit Rate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17</xdr:row>
      <xdr:rowOff>15898</xdr:rowOff>
    </xdr:from>
    <xdr:to>
      <xdr:col>5</xdr:col>
      <xdr:colOff>541678</xdr:colOff>
      <xdr:row>18</xdr:row>
      <xdr:rowOff>43545</xdr:rowOff>
    </xdr:to>
    <xdr:sp macro="" textlink="Sheet1!D24">
      <xdr:nvSpPr>
        <xdr:cNvPr id="28" name="TextBox 27">
          <a:extLst>
            <a:ext uri="{FF2B5EF4-FFF2-40B4-BE49-F238E27FC236}">
              <a16:creationId xmlns:a16="http://schemas.microsoft.com/office/drawing/2014/main" id="{66A51331-3C2D-4FEA-B860-01387658F526}"/>
            </a:ext>
          </a:extLst>
        </xdr:cNvPr>
        <xdr:cNvSpPr txBox="1"/>
      </xdr:nvSpPr>
      <xdr:spPr>
        <a:xfrm>
          <a:off x="2690583" y="3146448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8BB8D4B-0E4E-487D-8578-74D47CC46EC7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44%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18</xdr:row>
      <xdr:rowOff>143934</xdr:rowOff>
    </xdr:from>
    <xdr:to>
      <xdr:col>5</xdr:col>
      <xdr:colOff>544397</xdr:colOff>
      <xdr:row>19</xdr:row>
      <xdr:rowOff>171580</xdr:rowOff>
    </xdr:to>
    <xdr:sp macro="" textlink="Sheet1!C25">
      <xdr:nvSpPr>
        <xdr:cNvPr id="29" name="TextBox 28">
          <a:extLst>
            <a:ext uri="{FF2B5EF4-FFF2-40B4-BE49-F238E27FC236}">
              <a16:creationId xmlns:a16="http://schemas.microsoft.com/office/drawing/2014/main" id="{57842340-BBAD-4B44-A8B6-D5A6E08164E4}"/>
            </a:ext>
          </a:extLst>
        </xdr:cNvPr>
        <xdr:cNvSpPr txBox="1"/>
      </xdr:nvSpPr>
      <xdr:spPr>
        <a:xfrm>
          <a:off x="2693302" y="3458634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7AC2CE0-E7A9-4E65-9596-973F56CBADF8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Organic Traffic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19</xdr:row>
      <xdr:rowOff>112660</xdr:rowOff>
    </xdr:from>
    <xdr:to>
      <xdr:col>5</xdr:col>
      <xdr:colOff>541678</xdr:colOff>
      <xdr:row>20</xdr:row>
      <xdr:rowOff>140307</xdr:rowOff>
    </xdr:to>
    <xdr:sp macro="" textlink="Sheet1!D25">
      <xdr:nvSpPr>
        <xdr:cNvPr id="30" name="TextBox 29">
          <a:extLst>
            <a:ext uri="{FF2B5EF4-FFF2-40B4-BE49-F238E27FC236}">
              <a16:creationId xmlns:a16="http://schemas.microsoft.com/office/drawing/2014/main" id="{F8ECBAB3-BA8C-4702-AEED-7C55E4841454}"/>
            </a:ext>
          </a:extLst>
        </xdr:cNvPr>
        <xdr:cNvSpPr txBox="1"/>
      </xdr:nvSpPr>
      <xdr:spPr>
        <a:xfrm>
          <a:off x="2690583" y="3611510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5BDF479-2A39-4329-9821-6DAC5E8F9761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31 300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21</xdr:row>
      <xdr:rowOff>59267</xdr:rowOff>
    </xdr:from>
    <xdr:to>
      <xdr:col>5</xdr:col>
      <xdr:colOff>544397</xdr:colOff>
      <xdr:row>22</xdr:row>
      <xdr:rowOff>86913</xdr:rowOff>
    </xdr:to>
    <xdr:sp macro="" textlink="Sheet1!C26">
      <xdr:nvSpPr>
        <xdr:cNvPr id="31" name="TextBox 30">
          <a:extLst>
            <a:ext uri="{FF2B5EF4-FFF2-40B4-BE49-F238E27FC236}">
              <a16:creationId xmlns:a16="http://schemas.microsoft.com/office/drawing/2014/main" id="{E0B63100-A261-4F77-8D21-3CF2DD31BAB6}"/>
            </a:ext>
          </a:extLst>
        </xdr:cNvPr>
        <xdr:cNvSpPr txBox="1"/>
      </xdr:nvSpPr>
      <xdr:spPr>
        <a:xfrm>
          <a:off x="2693302" y="3926417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DCAAB2E-1386-46B0-AAF8-FC8E60648403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Paid Traffic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22</xdr:row>
      <xdr:rowOff>27993</xdr:rowOff>
    </xdr:from>
    <xdr:to>
      <xdr:col>5</xdr:col>
      <xdr:colOff>541678</xdr:colOff>
      <xdr:row>23</xdr:row>
      <xdr:rowOff>55640</xdr:rowOff>
    </xdr:to>
    <xdr:sp macro="" textlink="Sheet1!D26">
      <xdr:nvSpPr>
        <xdr:cNvPr id="32" name="TextBox 31">
          <a:extLst>
            <a:ext uri="{FF2B5EF4-FFF2-40B4-BE49-F238E27FC236}">
              <a16:creationId xmlns:a16="http://schemas.microsoft.com/office/drawing/2014/main" id="{7C70AC12-FC4A-441A-8EFB-6F37443CB489}"/>
            </a:ext>
          </a:extLst>
        </xdr:cNvPr>
        <xdr:cNvSpPr txBox="1"/>
      </xdr:nvSpPr>
      <xdr:spPr>
        <a:xfrm>
          <a:off x="2690583" y="4079293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52BA47A-4C3C-484E-B112-CBCE5E804B53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7 280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23</xdr:row>
      <xdr:rowOff>156029</xdr:rowOff>
    </xdr:from>
    <xdr:to>
      <xdr:col>5</xdr:col>
      <xdr:colOff>544397</xdr:colOff>
      <xdr:row>25</xdr:row>
      <xdr:rowOff>2247</xdr:rowOff>
    </xdr:to>
    <xdr:sp macro="" textlink="Sheet1!C27">
      <xdr:nvSpPr>
        <xdr:cNvPr id="33" name="TextBox 32">
          <a:extLst>
            <a:ext uri="{FF2B5EF4-FFF2-40B4-BE49-F238E27FC236}">
              <a16:creationId xmlns:a16="http://schemas.microsoft.com/office/drawing/2014/main" id="{D7446F0B-6EAA-4C2C-9EA4-269BF4B654BD}"/>
            </a:ext>
          </a:extLst>
        </xdr:cNvPr>
        <xdr:cNvSpPr txBox="1"/>
      </xdr:nvSpPr>
      <xdr:spPr>
        <a:xfrm>
          <a:off x="2693302" y="4391479"/>
          <a:ext cx="899095" cy="214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920EDD6-0D34-47E4-BB24-87E3E79276AB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Direct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24</xdr:row>
      <xdr:rowOff>124755</xdr:rowOff>
    </xdr:from>
    <xdr:to>
      <xdr:col>5</xdr:col>
      <xdr:colOff>541678</xdr:colOff>
      <xdr:row>25</xdr:row>
      <xdr:rowOff>152402</xdr:rowOff>
    </xdr:to>
    <xdr:sp macro="" textlink="Sheet1!D27">
      <xdr:nvSpPr>
        <xdr:cNvPr id="34" name="TextBox 33">
          <a:extLst>
            <a:ext uri="{FF2B5EF4-FFF2-40B4-BE49-F238E27FC236}">
              <a16:creationId xmlns:a16="http://schemas.microsoft.com/office/drawing/2014/main" id="{4B2080B1-8C6A-4D8D-A506-8D8166F6500B}"/>
            </a:ext>
          </a:extLst>
        </xdr:cNvPr>
        <xdr:cNvSpPr txBox="1"/>
      </xdr:nvSpPr>
      <xdr:spPr>
        <a:xfrm>
          <a:off x="2690583" y="4544355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A81CE9A-2667-4A8D-A754-8D5B7777037A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7 750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26</xdr:row>
      <xdr:rowOff>71362</xdr:rowOff>
    </xdr:from>
    <xdr:to>
      <xdr:col>5</xdr:col>
      <xdr:colOff>544397</xdr:colOff>
      <xdr:row>27</xdr:row>
      <xdr:rowOff>99009</xdr:rowOff>
    </xdr:to>
    <xdr:sp macro="" textlink="Sheet1!C28">
      <xdr:nvSpPr>
        <xdr:cNvPr id="35" name="TextBox 34">
          <a:extLst>
            <a:ext uri="{FF2B5EF4-FFF2-40B4-BE49-F238E27FC236}">
              <a16:creationId xmlns:a16="http://schemas.microsoft.com/office/drawing/2014/main" id="{7B4B9A91-B828-46B7-97B8-9D1A59127540}"/>
            </a:ext>
          </a:extLst>
        </xdr:cNvPr>
        <xdr:cNvSpPr txBox="1"/>
      </xdr:nvSpPr>
      <xdr:spPr>
        <a:xfrm>
          <a:off x="2693302" y="4859262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8831F4E-923E-4C8A-9E8E-61FE8A37FDC5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Social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27</xdr:row>
      <xdr:rowOff>40089</xdr:rowOff>
    </xdr:from>
    <xdr:to>
      <xdr:col>5</xdr:col>
      <xdr:colOff>541678</xdr:colOff>
      <xdr:row>28</xdr:row>
      <xdr:rowOff>67735</xdr:rowOff>
    </xdr:to>
    <xdr:sp macro="" textlink="Sheet1!D28">
      <xdr:nvSpPr>
        <xdr:cNvPr id="36" name="TextBox 35">
          <a:extLst>
            <a:ext uri="{FF2B5EF4-FFF2-40B4-BE49-F238E27FC236}">
              <a16:creationId xmlns:a16="http://schemas.microsoft.com/office/drawing/2014/main" id="{02263B68-5269-45CE-A23C-12D37B3D2C57}"/>
            </a:ext>
          </a:extLst>
        </xdr:cNvPr>
        <xdr:cNvSpPr txBox="1"/>
      </xdr:nvSpPr>
      <xdr:spPr>
        <a:xfrm>
          <a:off x="2690583" y="5012139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7B94C1D-F74E-4233-AA66-92EAA8CA10BE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2 540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28</xdr:row>
      <xdr:rowOff>168124</xdr:rowOff>
    </xdr:from>
    <xdr:to>
      <xdr:col>5</xdr:col>
      <xdr:colOff>544397</xdr:colOff>
      <xdr:row>30</xdr:row>
      <xdr:rowOff>14342</xdr:rowOff>
    </xdr:to>
    <xdr:sp macro="" textlink="Sheet1!C29">
      <xdr:nvSpPr>
        <xdr:cNvPr id="37" name="TextBox 36">
          <a:extLst>
            <a:ext uri="{FF2B5EF4-FFF2-40B4-BE49-F238E27FC236}">
              <a16:creationId xmlns:a16="http://schemas.microsoft.com/office/drawing/2014/main" id="{48E9D2BD-DF8C-4B66-A592-403D3A61EAC5}"/>
            </a:ext>
          </a:extLst>
        </xdr:cNvPr>
        <xdr:cNvSpPr txBox="1"/>
      </xdr:nvSpPr>
      <xdr:spPr>
        <a:xfrm>
          <a:off x="2693302" y="5324324"/>
          <a:ext cx="899095" cy="214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77D5058-F28F-490B-A728-2D3D325C2C5C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Referral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29</xdr:row>
      <xdr:rowOff>136850</xdr:rowOff>
    </xdr:from>
    <xdr:to>
      <xdr:col>5</xdr:col>
      <xdr:colOff>541678</xdr:colOff>
      <xdr:row>30</xdr:row>
      <xdr:rowOff>164497</xdr:rowOff>
    </xdr:to>
    <xdr:sp macro="" textlink="Sheet1!D29">
      <xdr:nvSpPr>
        <xdr:cNvPr id="38" name="TextBox 37">
          <a:extLst>
            <a:ext uri="{FF2B5EF4-FFF2-40B4-BE49-F238E27FC236}">
              <a16:creationId xmlns:a16="http://schemas.microsoft.com/office/drawing/2014/main" id="{BABBCD86-5E00-44B9-BB8F-339D6961C95D}"/>
            </a:ext>
          </a:extLst>
        </xdr:cNvPr>
        <xdr:cNvSpPr txBox="1"/>
      </xdr:nvSpPr>
      <xdr:spPr>
        <a:xfrm>
          <a:off x="2690583" y="5477200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C522332-87E7-4CA4-BA25-F933180AE898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16 930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31</xdr:row>
      <xdr:rowOff>83458</xdr:rowOff>
    </xdr:from>
    <xdr:to>
      <xdr:col>5</xdr:col>
      <xdr:colOff>544397</xdr:colOff>
      <xdr:row>32</xdr:row>
      <xdr:rowOff>111105</xdr:rowOff>
    </xdr:to>
    <xdr:sp macro="" textlink="Sheet1!C30">
      <xdr:nvSpPr>
        <xdr:cNvPr id="39" name="TextBox 38">
          <a:extLst>
            <a:ext uri="{FF2B5EF4-FFF2-40B4-BE49-F238E27FC236}">
              <a16:creationId xmlns:a16="http://schemas.microsoft.com/office/drawing/2014/main" id="{E92A6091-FBB0-4AE3-A11A-3053726BE816}"/>
            </a:ext>
          </a:extLst>
        </xdr:cNvPr>
        <xdr:cNvSpPr txBox="1"/>
      </xdr:nvSpPr>
      <xdr:spPr>
        <a:xfrm>
          <a:off x="2693302" y="5792108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9DA521A-3836-45B7-90AD-B316D5309A36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Top Location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32</xdr:row>
      <xdr:rowOff>52185</xdr:rowOff>
    </xdr:from>
    <xdr:to>
      <xdr:col>5</xdr:col>
      <xdr:colOff>541678</xdr:colOff>
      <xdr:row>33</xdr:row>
      <xdr:rowOff>79831</xdr:rowOff>
    </xdr:to>
    <xdr:sp macro="" textlink="Sheet1!D30">
      <xdr:nvSpPr>
        <xdr:cNvPr id="40" name="TextBox 39">
          <a:extLst>
            <a:ext uri="{FF2B5EF4-FFF2-40B4-BE49-F238E27FC236}">
              <a16:creationId xmlns:a16="http://schemas.microsoft.com/office/drawing/2014/main" id="{5CC2A8F9-EDF3-437D-A2F5-E9B7671F36F9}"/>
            </a:ext>
          </a:extLst>
        </xdr:cNvPr>
        <xdr:cNvSpPr txBox="1"/>
      </xdr:nvSpPr>
      <xdr:spPr>
        <a:xfrm>
          <a:off x="2690583" y="5944985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32F34E3-41F9-4CF5-8942-76047CC92CFE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Japan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317500</xdr:colOff>
      <xdr:row>7</xdr:row>
      <xdr:rowOff>18142</xdr:rowOff>
    </xdr:from>
    <xdr:to>
      <xdr:col>12</xdr:col>
      <xdr:colOff>480785</xdr:colOff>
      <xdr:row>20</xdr:row>
      <xdr:rowOff>136071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88C27ACD-FC37-408E-A67B-F1D3BC61B1C7}"/>
            </a:ext>
          </a:extLst>
        </xdr:cNvPr>
        <xdr:cNvSpPr/>
      </xdr:nvSpPr>
      <xdr:spPr>
        <a:xfrm>
          <a:off x="3975100" y="1307192"/>
          <a:ext cx="3820885" cy="251187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353786</xdr:colOff>
      <xdr:row>9</xdr:row>
      <xdr:rowOff>36286</xdr:rowOff>
    </xdr:from>
    <xdr:to>
      <xdr:col>12</xdr:col>
      <xdr:colOff>480785</xdr:colOff>
      <xdr:row>20</xdr:row>
      <xdr:rowOff>117928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67B5E23B-FA3B-40EE-B41A-6F9AAEC6C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335643</xdr:colOff>
      <xdr:row>7</xdr:row>
      <xdr:rowOff>72571</xdr:rowOff>
    </xdr:from>
    <xdr:to>
      <xdr:col>9</xdr:col>
      <xdr:colOff>235858</xdr:colOff>
      <xdr:row>8</xdr:row>
      <xdr:rowOff>117928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D4F811E-941C-45E1-9FA5-3E1A13D6D073}"/>
            </a:ext>
          </a:extLst>
        </xdr:cNvPr>
        <xdr:cNvSpPr txBox="1"/>
      </xdr:nvSpPr>
      <xdr:spPr>
        <a:xfrm>
          <a:off x="3993243" y="1361621"/>
          <a:ext cx="1729015" cy="22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Visits &amp; Page Views</a:t>
          </a:r>
        </a:p>
      </xdr:txBody>
    </xdr:sp>
    <xdr:clientData/>
  </xdr:twoCellAnchor>
  <xdr:twoCellAnchor>
    <xdr:from>
      <xdr:col>13</xdr:col>
      <xdr:colOff>143329</xdr:colOff>
      <xdr:row>7</xdr:row>
      <xdr:rowOff>25399</xdr:rowOff>
    </xdr:from>
    <xdr:to>
      <xdr:col>19</xdr:col>
      <xdr:colOff>306614</xdr:colOff>
      <xdr:row>20</xdr:row>
      <xdr:rowOff>143328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2C1D93BE-B81E-4F5F-B91A-1E32BF8ECF70}"/>
            </a:ext>
          </a:extLst>
        </xdr:cNvPr>
        <xdr:cNvSpPr/>
      </xdr:nvSpPr>
      <xdr:spPr>
        <a:xfrm>
          <a:off x="8068129" y="1314449"/>
          <a:ext cx="3820885" cy="251187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161472</xdr:colOff>
      <xdr:row>7</xdr:row>
      <xdr:rowOff>79828</xdr:rowOff>
    </xdr:from>
    <xdr:to>
      <xdr:col>16</xdr:col>
      <xdr:colOff>61687</xdr:colOff>
      <xdr:row>8</xdr:row>
      <xdr:rowOff>125185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D291731-CC0D-433D-A324-B9802996A558}"/>
            </a:ext>
          </a:extLst>
        </xdr:cNvPr>
        <xdr:cNvSpPr txBox="1"/>
      </xdr:nvSpPr>
      <xdr:spPr>
        <a:xfrm>
          <a:off x="8086272" y="1368878"/>
          <a:ext cx="1729015" cy="22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Bounce &amp;</a:t>
          </a:r>
          <a:r>
            <a:rPr lang="en-IN" sz="900" b="1" i="0" u="none" strike="noStrike" baseline="0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 Exit Rate</a:t>
          </a:r>
          <a:endParaRPr lang="en-IN" sz="9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13</xdr:col>
      <xdr:colOff>136072</xdr:colOff>
      <xdr:row>8</xdr:row>
      <xdr:rowOff>90714</xdr:rowOff>
    </xdr:from>
    <xdr:to>
      <xdr:col>19</xdr:col>
      <xdr:colOff>299357</xdr:colOff>
      <xdr:row>20</xdr:row>
      <xdr:rowOff>154214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18EE5AE0-1B0C-4128-A3D2-62F732B34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306614</xdr:colOff>
      <xdr:row>21</xdr:row>
      <xdr:rowOff>125185</xdr:rowOff>
    </xdr:from>
    <xdr:to>
      <xdr:col>12</xdr:col>
      <xdr:colOff>469899</xdr:colOff>
      <xdr:row>35</xdr:row>
      <xdr:rowOff>61685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E16D9146-7480-4D76-95D3-0D2632610E04}"/>
            </a:ext>
          </a:extLst>
        </xdr:cNvPr>
        <xdr:cNvSpPr/>
      </xdr:nvSpPr>
      <xdr:spPr>
        <a:xfrm>
          <a:off x="3964214" y="3992335"/>
          <a:ext cx="3820885" cy="25146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324757</xdr:colOff>
      <xdr:row>21</xdr:row>
      <xdr:rowOff>179614</xdr:rowOff>
    </xdr:from>
    <xdr:to>
      <xdr:col>9</xdr:col>
      <xdr:colOff>224972</xdr:colOff>
      <xdr:row>23</xdr:row>
      <xdr:rowOff>43543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B54E81D-9745-4784-84B4-DFDE43329FBC}"/>
            </a:ext>
          </a:extLst>
        </xdr:cNvPr>
        <xdr:cNvSpPr txBox="1"/>
      </xdr:nvSpPr>
      <xdr:spPr>
        <a:xfrm>
          <a:off x="3982357" y="4046764"/>
          <a:ext cx="1729015" cy="232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Organic Vs. Paid</a:t>
          </a:r>
        </a:p>
      </xdr:txBody>
    </xdr:sp>
    <xdr:clientData/>
  </xdr:twoCellAnchor>
  <xdr:twoCellAnchor>
    <xdr:from>
      <xdr:col>6</xdr:col>
      <xdr:colOff>264887</xdr:colOff>
      <xdr:row>23</xdr:row>
      <xdr:rowOff>0</xdr:rowOff>
    </xdr:from>
    <xdr:to>
      <xdr:col>12</xdr:col>
      <xdr:colOff>489856</xdr:colOff>
      <xdr:row>35</xdr:row>
      <xdr:rowOff>99786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5DC3D872-F0D9-4B1B-8539-66D29277C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</xdr:col>
      <xdr:colOff>141514</xdr:colOff>
      <xdr:row>21</xdr:row>
      <xdr:rowOff>132442</xdr:rowOff>
    </xdr:from>
    <xdr:to>
      <xdr:col>19</xdr:col>
      <xdr:colOff>304799</xdr:colOff>
      <xdr:row>35</xdr:row>
      <xdr:rowOff>68942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D15C0438-185B-4014-8F69-3C2BC7231DCB}"/>
            </a:ext>
          </a:extLst>
        </xdr:cNvPr>
        <xdr:cNvSpPr/>
      </xdr:nvSpPr>
      <xdr:spPr>
        <a:xfrm>
          <a:off x="8066314" y="3999592"/>
          <a:ext cx="3820885" cy="25146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161472</xdr:colOff>
      <xdr:row>21</xdr:row>
      <xdr:rowOff>179614</xdr:rowOff>
    </xdr:from>
    <xdr:to>
      <xdr:col>16</xdr:col>
      <xdr:colOff>423334</xdr:colOff>
      <xdr:row>23</xdr:row>
      <xdr:rowOff>52917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08086D9-EEA0-4A4F-AAB3-BC79B63BB61A}"/>
            </a:ext>
          </a:extLst>
        </xdr:cNvPr>
        <xdr:cNvSpPr txBox="1"/>
      </xdr:nvSpPr>
      <xdr:spPr>
        <a:xfrm>
          <a:off x="8086272" y="4046764"/>
          <a:ext cx="2090662" cy="2416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Direct Vs. Social Vs. Referral</a:t>
          </a:r>
        </a:p>
      </xdr:txBody>
    </xdr:sp>
    <xdr:clientData/>
  </xdr:twoCellAnchor>
  <xdr:twoCellAnchor>
    <xdr:from>
      <xdr:col>13</xdr:col>
      <xdr:colOff>154214</xdr:colOff>
      <xdr:row>23</xdr:row>
      <xdr:rowOff>99785</xdr:rowOff>
    </xdr:from>
    <xdr:to>
      <xdr:col>19</xdr:col>
      <xdr:colOff>263071</xdr:colOff>
      <xdr:row>35</xdr:row>
      <xdr:rowOff>99785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1DFADCB8-C887-4720-90E1-3D88E90B0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19</xdr:col>
      <xdr:colOff>576941</xdr:colOff>
      <xdr:row>7</xdr:row>
      <xdr:rowOff>14513</xdr:rowOff>
    </xdr:from>
    <xdr:to>
      <xdr:col>26</xdr:col>
      <xdr:colOff>326570</xdr:colOff>
      <xdr:row>35</xdr:row>
      <xdr:rowOff>72570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8D8DAD6-CFD3-4958-A394-F4C76E94E0FE}"/>
            </a:ext>
          </a:extLst>
        </xdr:cNvPr>
        <xdr:cNvSpPr/>
      </xdr:nvSpPr>
      <xdr:spPr>
        <a:xfrm>
          <a:off x="12159341" y="1303563"/>
          <a:ext cx="4016829" cy="5214257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595085</xdr:colOff>
      <xdr:row>7</xdr:row>
      <xdr:rowOff>68943</xdr:rowOff>
    </xdr:from>
    <xdr:to>
      <xdr:col>22</xdr:col>
      <xdr:colOff>495300</xdr:colOff>
      <xdr:row>8</xdr:row>
      <xdr:rowOff>114300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391AC7A-99EE-45C1-8C51-0B3B5A7508BF}"/>
            </a:ext>
          </a:extLst>
        </xdr:cNvPr>
        <xdr:cNvSpPr txBox="1"/>
      </xdr:nvSpPr>
      <xdr:spPr>
        <a:xfrm>
          <a:off x="12177485" y="1357993"/>
          <a:ext cx="1729015" cy="22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Geographic</a:t>
          </a:r>
        </a:p>
      </xdr:txBody>
    </xdr:sp>
    <xdr:clientData/>
  </xdr:twoCellAnchor>
  <xdr:twoCellAnchor>
    <xdr:from>
      <xdr:col>20</xdr:col>
      <xdr:colOff>172357</xdr:colOff>
      <xdr:row>10</xdr:row>
      <xdr:rowOff>74083</xdr:rowOff>
    </xdr:from>
    <xdr:to>
      <xdr:col>26</xdr:col>
      <xdr:colOff>226785</xdr:colOff>
      <xdr:row>34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4E87B331-256C-4668-8E1F-9F0D9B63D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22</xdr:col>
      <xdr:colOff>117928</xdr:colOff>
      <xdr:row>19</xdr:row>
      <xdr:rowOff>176890</xdr:rowOff>
    </xdr:from>
    <xdr:to>
      <xdr:col>24</xdr:col>
      <xdr:colOff>281214</xdr:colOff>
      <xdr:row>23</xdr:row>
      <xdr:rowOff>24189</xdr:rowOff>
    </xdr:to>
    <xdr:sp macro="" textlink="Sheet1!H22">
      <xdr:nvSpPr>
        <xdr:cNvPr id="56" name="TextBox 55">
          <a:extLst>
            <a:ext uri="{FF2B5EF4-FFF2-40B4-BE49-F238E27FC236}">
              <a16:creationId xmlns:a16="http://schemas.microsoft.com/office/drawing/2014/main" id="{22DA6423-D032-4836-BF63-97CD5D0BAB58}"/>
            </a:ext>
          </a:extLst>
        </xdr:cNvPr>
        <xdr:cNvSpPr txBox="1"/>
      </xdr:nvSpPr>
      <xdr:spPr>
        <a:xfrm>
          <a:off x="13529128" y="3675740"/>
          <a:ext cx="1382486" cy="583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DEA691D-662C-4728-AA60-832046A27461}" type="TxLink">
            <a:rPr lang="en-US" sz="900" b="1" i="0" u="none" strike="noStrike">
              <a:solidFill>
                <a:srgbClr val="390058"/>
              </a:solidFill>
              <a:latin typeface="Montserrat"/>
              <a:cs typeface="Calibri"/>
            </a:rPr>
            <a:pPr algn="ctr"/>
            <a:t>Japan</a:t>
          </a:fld>
          <a:endParaRPr lang="en-IN" sz="10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22</xdr:col>
      <xdr:colOff>125185</xdr:colOff>
      <xdr:row>21</xdr:row>
      <xdr:rowOff>7261</xdr:rowOff>
    </xdr:from>
    <xdr:to>
      <xdr:col>24</xdr:col>
      <xdr:colOff>288471</xdr:colOff>
      <xdr:row>24</xdr:row>
      <xdr:rowOff>34475</xdr:rowOff>
    </xdr:to>
    <xdr:sp macro="" textlink="Sheet1!I22">
      <xdr:nvSpPr>
        <xdr:cNvPr id="57" name="TextBox 56">
          <a:extLst>
            <a:ext uri="{FF2B5EF4-FFF2-40B4-BE49-F238E27FC236}">
              <a16:creationId xmlns:a16="http://schemas.microsoft.com/office/drawing/2014/main" id="{94A92D0E-EBCA-48AE-8529-0AE79769AE59}"/>
            </a:ext>
          </a:extLst>
        </xdr:cNvPr>
        <xdr:cNvSpPr txBox="1"/>
      </xdr:nvSpPr>
      <xdr:spPr>
        <a:xfrm>
          <a:off x="13536385" y="3874411"/>
          <a:ext cx="1382486" cy="579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50AAAD-319F-4DCB-A267-A1A6D79DA003}" type="TxLink">
            <a:rPr lang="en-US" sz="1200" b="1" i="0" u="none" strike="noStrike">
              <a:solidFill>
                <a:srgbClr val="000000"/>
              </a:solidFill>
              <a:latin typeface="Montserrat"/>
              <a:cs typeface="Calibri"/>
            </a:rPr>
            <a:pPr algn="ctr"/>
            <a:t>34000</a:t>
          </a:fld>
          <a:endParaRPr lang="en-IN" sz="20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132745</xdr:colOff>
      <xdr:row>36</xdr:row>
      <xdr:rowOff>133350</xdr:rowOff>
    </xdr:from>
    <xdr:to>
      <xdr:col>11</xdr:col>
      <xdr:colOff>226508</xdr:colOff>
      <xdr:row>41</xdr:row>
      <xdr:rowOff>173869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E44D69EF-83CF-40D7-88F3-2E7CE26197F8}"/>
            </a:ext>
          </a:extLst>
        </xdr:cNvPr>
        <xdr:cNvSpPr/>
      </xdr:nvSpPr>
      <xdr:spPr>
        <a:xfrm>
          <a:off x="2571145" y="6762750"/>
          <a:ext cx="4360963" cy="961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479865</xdr:colOff>
      <xdr:row>36</xdr:row>
      <xdr:rowOff>133350</xdr:rowOff>
    </xdr:from>
    <xdr:to>
      <xdr:col>18</xdr:col>
      <xdr:colOff>573629</xdr:colOff>
      <xdr:row>41</xdr:row>
      <xdr:rowOff>173869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342F2F9E-877D-41C6-A51B-C789E591E12E}"/>
            </a:ext>
          </a:extLst>
        </xdr:cNvPr>
        <xdr:cNvSpPr/>
      </xdr:nvSpPr>
      <xdr:spPr>
        <a:xfrm>
          <a:off x="7185465" y="6762750"/>
          <a:ext cx="4360964" cy="961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213153</xdr:colOff>
      <xdr:row>36</xdr:row>
      <xdr:rowOff>133350</xdr:rowOff>
    </xdr:from>
    <xdr:to>
      <xdr:col>26</xdr:col>
      <xdr:colOff>306916</xdr:colOff>
      <xdr:row>41</xdr:row>
      <xdr:rowOff>173869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768CDB3A-55CE-4871-9F4E-9171CEE596EA}"/>
            </a:ext>
          </a:extLst>
        </xdr:cNvPr>
        <xdr:cNvSpPr/>
      </xdr:nvSpPr>
      <xdr:spPr>
        <a:xfrm>
          <a:off x="11795553" y="6762750"/>
          <a:ext cx="4360963" cy="961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19</xdr:col>
      <xdr:colOff>306917</xdr:colOff>
      <xdr:row>38</xdr:row>
      <xdr:rowOff>45568</xdr:rowOff>
    </xdr:from>
    <xdr:to>
      <xdr:col>20</xdr:col>
      <xdr:colOff>89083</xdr:colOff>
      <xdr:row>40</xdr:row>
      <xdr:rowOff>81734</xdr:rowOff>
    </xdr:to>
    <xdr:pic>
      <xdr:nvPicPr>
        <xdr:cNvPr id="61" name="Graphic 60" descr="Downward trend graph">
          <a:extLst>
            <a:ext uri="{FF2B5EF4-FFF2-40B4-BE49-F238E27FC236}">
              <a16:creationId xmlns:a16="http://schemas.microsoft.com/office/drawing/2014/main" id="{59A75849-150B-4150-A8AC-2A407516A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889317" y="7043268"/>
          <a:ext cx="391766" cy="404466"/>
        </a:xfrm>
        <a:prstGeom prst="rect">
          <a:avLst/>
        </a:prstGeom>
      </xdr:spPr>
    </xdr:pic>
    <xdr:clientData/>
  </xdr:twoCellAnchor>
  <xdr:twoCellAnchor editAs="oneCell">
    <xdr:from>
      <xdr:col>11</xdr:col>
      <xdr:colOff>594500</xdr:colOff>
      <xdr:row>38</xdr:row>
      <xdr:rowOff>45568</xdr:rowOff>
    </xdr:from>
    <xdr:to>
      <xdr:col>12</xdr:col>
      <xdr:colOff>376667</xdr:colOff>
      <xdr:row>40</xdr:row>
      <xdr:rowOff>81734</xdr:rowOff>
    </xdr:to>
    <xdr:pic>
      <xdr:nvPicPr>
        <xdr:cNvPr id="62" name="Graphic 61" descr="Hierarchy">
          <a:extLst>
            <a:ext uri="{FF2B5EF4-FFF2-40B4-BE49-F238E27FC236}">
              <a16:creationId xmlns:a16="http://schemas.microsoft.com/office/drawing/2014/main" id="{6DE49866-8B2A-4CB9-B4D2-5221A4DCF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7300100" y="7043268"/>
          <a:ext cx="391767" cy="404466"/>
        </a:xfrm>
        <a:prstGeom prst="rect">
          <a:avLst/>
        </a:prstGeom>
      </xdr:spPr>
    </xdr:pic>
    <xdr:clientData/>
  </xdr:twoCellAnchor>
  <xdr:twoCellAnchor editAs="oneCell">
    <xdr:from>
      <xdr:col>4</xdr:col>
      <xdr:colOff>236501</xdr:colOff>
      <xdr:row>38</xdr:row>
      <xdr:rowOff>45568</xdr:rowOff>
    </xdr:from>
    <xdr:to>
      <xdr:col>5</xdr:col>
      <xdr:colOff>18667</xdr:colOff>
      <xdr:row>40</xdr:row>
      <xdr:rowOff>81734</xdr:rowOff>
    </xdr:to>
    <xdr:pic>
      <xdr:nvPicPr>
        <xdr:cNvPr id="63" name="Graphic 62" descr="Pie chart">
          <a:extLst>
            <a:ext uri="{FF2B5EF4-FFF2-40B4-BE49-F238E27FC236}">
              <a16:creationId xmlns:a16="http://schemas.microsoft.com/office/drawing/2014/main" id="{9681CDB9-A7F9-4163-9D6F-609C39B7C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674901" y="7043268"/>
          <a:ext cx="391766" cy="404466"/>
        </a:xfrm>
        <a:prstGeom prst="rect">
          <a:avLst/>
        </a:prstGeom>
      </xdr:spPr>
    </xdr:pic>
    <xdr:clientData/>
  </xdr:twoCellAnchor>
  <xdr:twoCellAnchor>
    <xdr:from>
      <xdr:col>5</xdr:col>
      <xdr:colOff>148166</xdr:colOff>
      <xdr:row>37</xdr:row>
      <xdr:rowOff>169484</xdr:rowOff>
    </xdr:from>
    <xdr:to>
      <xdr:col>11</xdr:col>
      <xdr:colOff>127000</xdr:colOff>
      <xdr:row>40</xdr:row>
      <xdr:rowOff>137734</xdr:rowOff>
    </xdr:to>
    <xdr:sp macro="" textlink="Sheet1!C34">
      <xdr:nvSpPr>
        <xdr:cNvPr id="64" name="TextBox 63">
          <a:extLst>
            <a:ext uri="{FF2B5EF4-FFF2-40B4-BE49-F238E27FC236}">
              <a16:creationId xmlns:a16="http://schemas.microsoft.com/office/drawing/2014/main" id="{F9EA79F3-2BBD-46D6-8247-E3E8FDA0EA31}"/>
            </a:ext>
          </a:extLst>
        </xdr:cNvPr>
        <xdr:cNvSpPr txBox="1"/>
      </xdr:nvSpPr>
      <xdr:spPr>
        <a:xfrm>
          <a:off x="3196166" y="6983034"/>
          <a:ext cx="3636434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12</xdr:col>
      <xdr:colOff>501650</xdr:colOff>
      <xdr:row>37</xdr:row>
      <xdr:rowOff>169484</xdr:rowOff>
    </xdr:from>
    <xdr:to>
      <xdr:col>18</xdr:col>
      <xdr:colOff>480484</xdr:colOff>
      <xdr:row>40</xdr:row>
      <xdr:rowOff>137734</xdr:rowOff>
    </xdr:to>
    <xdr:sp macro="" textlink="Sheet1!C34">
      <xdr:nvSpPr>
        <xdr:cNvPr id="65" name="TextBox 64">
          <a:extLst>
            <a:ext uri="{FF2B5EF4-FFF2-40B4-BE49-F238E27FC236}">
              <a16:creationId xmlns:a16="http://schemas.microsoft.com/office/drawing/2014/main" id="{3E969610-9629-4EC2-8211-9357C7F0FFC2}"/>
            </a:ext>
          </a:extLst>
        </xdr:cNvPr>
        <xdr:cNvSpPr txBox="1"/>
      </xdr:nvSpPr>
      <xdr:spPr>
        <a:xfrm>
          <a:off x="7816850" y="6983034"/>
          <a:ext cx="3636434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20</xdr:col>
      <xdr:colOff>177800</xdr:colOff>
      <xdr:row>37</xdr:row>
      <xdr:rowOff>169484</xdr:rowOff>
    </xdr:from>
    <xdr:to>
      <xdr:col>26</xdr:col>
      <xdr:colOff>156634</xdr:colOff>
      <xdr:row>40</xdr:row>
      <xdr:rowOff>137734</xdr:rowOff>
    </xdr:to>
    <xdr:sp macro="" textlink="Sheet1!C34">
      <xdr:nvSpPr>
        <xdr:cNvPr id="66" name="TextBox 65">
          <a:extLst>
            <a:ext uri="{FF2B5EF4-FFF2-40B4-BE49-F238E27FC236}">
              <a16:creationId xmlns:a16="http://schemas.microsoft.com/office/drawing/2014/main" id="{D1DEC3CF-3DE8-4AF6-8D43-DE91A11E9EDA}"/>
            </a:ext>
          </a:extLst>
        </xdr:cNvPr>
        <xdr:cNvSpPr txBox="1"/>
      </xdr:nvSpPr>
      <xdr:spPr>
        <a:xfrm>
          <a:off x="12369800" y="6983034"/>
          <a:ext cx="3636434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6</xdr:col>
      <xdr:colOff>445787</xdr:colOff>
      <xdr:row>8</xdr:row>
      <xdr:rowOff>152927</xdr:rowOff>
    </xdr:from>
    <xdr:to>
      <xdr:col>7</xdr:col>
      <xdr:colOff>188930</xdr:colOff>
      <xdr:row>9</xdr:row>
      <xdr:rowOff>9010</xdr:rowOff>
    </xdr:to>
    <xdr:sp macro="" textlink="">
      <xdr:nvSpPr>
        <xdr:cNvPr id="67" name="Rectangle: Rounded Corners 66">
          <a:extLst>
            <a:ext uri="{FF2B5EF4-FFF2-40B4-BE49-F238E27FC236}">
              <a16:creationId xmlns:a16="http://schemas.microsoft.com/office/drawing/2014/main" id="{3677A373-B461-42DA-B3CC-59FD3DBBF51D}"/>
            </a:ext>
          </a:extLst>
        </xdr:cNvPr>
        <xdr:cNvSpPr/>
      </xdr:nvSpPr>
      <xdr:spPr>
        <a:xfrm rot="5400000">
          <a:off x="4259642" y="1469872"/>
          <a:ext cx="40233" cy="352743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428854</xdr:colOff>
      <xdr:row>23</xdr:row>
      <xdr:rowOff>83077</xdr:rowOff>
    </xdr:from>
    <xdr:to>
      <xdr:col>7</xdr:col>
      <xdr:colOff>171997</xdr:colOff>
      <xdr:row>23</xdr:row>
      <xdr:rowOff>119077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3A2C8E96-B8F4-49DF-B64A-DC496C9D6237}"/>
            </a:ext>
          </a:extLst>
        </xdr:cNvPr>
        <xdr:cNvSpPr/>
      </xdr:nvSpPr>
      <xdr:spPr>
        <a:xfrm rot="5400000">
          <a:off x="4244826" y="4160155"/>
          <a:ext cx="36000" cy="352743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274338</xdr:colOff>
      <xdr:row>23</xdr:row>
      <xdr:rowOff>87310</xdr:rowOff>
    </xdr:from>
    <xdr:to>
      <xdr:col>14</xdr:col>
      <xdr:colOff>17480</xdr:colOff>
      <xdr:row>23</xdr:row>
      <xdr:rowOff>123310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541410D6-3FEB-4D9D-95FB-8C995B8F7CBA}"/>
            </a:ext>
          </a:extLst>
        </xdr:cNvPr>
        <xdr:cNvSpPr/>
      </xdr:nvSpPr>
      <xdr:spPr>
        <a:xfrm rot="5400000">
          <a:off x="8357509" y="4164389"/>
          <a:ext cx="36000" cy="352742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289155</xdr:colOff>
      <xdr:row>8</xdr:row>
      <xdr:rowOff>152927</xdr:rowOff>
    </xdr:from>
    <xdr:to>
      <xdr:col>14</xdr:col>
      <xdr:colOff>32297</xdr:colOff>
      <xdr:row>9</xdr:row>
      <xdr:rowOff>9010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70832A00-8087-4427-BD3D-AEB724A82B4F}"/>
            </a:ext>
          </a:extLst>
        </xdr:cNvPr>
        <xdr:cNvSpPr/>
      </xdr:nvSpPr>
      <xdr:spPr>
        <a:xfrm rot="5400000">
          <a:off x="8370209" y="1469873"/>
          <a:ext cx="40233" cy="352742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81721</xdr:colOff>
      <xdr:row>8</xdr:row>
      <xdr:rowOff>152927</xdr:rowOff>
    </xdr:from>
    <xdr:to>
      <xdr:col>20</xdr:col>
      <xdr:colOff>438697</xdr:colOff>
      <xdr:row>9</xdr:row>
      <xdr:rowOff>9010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104D3A6F-9863-4B01-B019-15C903D0FF02}"/>
            </a:ext>
          </a:extLst>
        </xdr:cNvPr>
        <xdr:cNvSpPr/>
      </xdr:nvSpPr>
      <xdr:spPr>
        <a:xfrm rot="5400000">
          <a:off x="12432092" y="1467756"/>
          <a:ext cx="40233" cy="356976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225608</xdr:colOff>
      <xdr:row>7</xdr:row>
      <xdr:rowOff>158422</xdr:rowOff>
    </xdr:from>
    <xdr:to>
      <xdr:col>12</xdr:col>
      <xdr:colOff>362710</xdr:colOff>
      <xdr:row>30</xdr:row>
      <xdr:rowOff>161494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99ECE015-3C9C-4022-8F34-29CE435EC695}"/>
            </a:ext>
          </a:extLst>
        </xdr:cNvPr>
        <xdr:cNvSpPr/>
      </xdr:nvSpPr>
      <xdr:spPr>
        <a:xfrm>
          <a:off x="225608" y="1447472"/>
          <a:ext cx="7452302" cy="4238522"/>
        </a:xfrm>
        <a:custGeom>
          <a:avLst/>
          <a:gdLst>
            <a:gd name="connsiteX0" fmla="*/ 10249 w 7430531"/>
            <a:gd name="connsiteY0" fmla="*/ 3842078 h 4175929"/>
            <a:gd name="connsiteX1" fmla="*/ 717821 w 7430531"/>
            <a:gd name="connsiteY1" fmla="*/ 1202292 h 4175929"/>
            <a:gd name="connsiteX2" fmla="*/ 4137749 w 7430531"/>
            <a:gd name="connsiteY2" fmla="*/ 13935 h 4175929"/>
            <a:gd name="connsiteX3" fmla="*/ 7294606 w 7430531"/>
            <a:gd name="connsiteY3" fmla="*/ 1918935 h 4175929"/>
            <a:gd name="connsiteX4" fmla="*/ 6260463 w 7430531"/>
            <a:gd name="connsiteY4" fmla="*/ 3524578 h 4175929"/>
            <a:gd name="connsiteX5" fmla="*/ 971821 w 7430531"/>
            <a:gd name="connsiteY5" fmla="*/ 4105149 h 4175929"/>
            <a:gd name="connsiteX6" fmla="*/ 10249 w 7430531"/>
            <a:gd name="connsiteY6" fmla="*/ 3842078 h 4175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7430531" h="4175929">
              <a:moveTo>
                <a:pt x="10249" y="3842078"/>
              </a:moveTo>
              <a:cubicBezTo>
                <a:pt x="-32084" y="3358268"/>
                <a:pt x="29904" y="1840316"/>
                <a:pt x="717821" y="1202292"/>
              </a:cubicBezTo>
              <a:cubicBezTo>
                <a:pt x="1405738" y="564268"/>
                <a:pt x="3041618" y="-105506"/>
                <a:pt x="4137749" y="13935"/>
              </a:cubicBezTo>
              <a:cubicBezTo>
                <a:pt x="5233880" y="133375"/>
                <a:pt x="6940820" y="1333828"/>
                <a:pt x="7294606" y="1918935"/>
              </a:cubicBezTo>
              <a:cubicBezTo>
                <a:pt x="7648392" y="2504042"/>
                <a:pt x="7314261" y="3160209"/>
                <a:pt x="6260463" y="3524578"/>
              </a:cubicBezTo>
              <a:cubicBezTo>
                <a:pt x="5206666" y="3888947"/>
                <a:pt x="2008988" y="4053744"/>
                <a:pt x="971821" y="4105149"/>
              </a:cubicBezTo>
              <a:cubicBezTo>
                <a:pt x="-65346" y="4156554"/>
                <a:pt x="52582" y="4325888"/>
                <a:pt x="10249" y="3842078"/>
              </a:cubicBezTo>
              <a:close/>
            </a:path>
          </a:pathLst>
        </a:custGeom>
        <a:solidFill>
          <a:srgbClr val="9966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171743</xdr:colOff>
      <xdr:row>9</xdr:row>
      <xdr:rowOff>10798</xdr:rowOff>
    </xdr:from>
    <xdr:to>
      <xdr:col>31</xdr:col>
      <xdr:colOff>366281</xdr:colOff>
      <xdr:row>46</xdr:row>
      <xdr:rowOff>40240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9D49D38A-7450-4470-B423-2207DDB1E259}"/>
            </a:ext>
          </a:extLst>
        </xdr:cNvPr>
        <xdr:cNvSpPr/>
      </xdr:nvSpPr>
      <xdr:spPr>
        <a:xfrm rot="9557275">
          <a:off x="8706143" y="1668148"/>
          <a:ext cx="10557738" cy="6842992"/>
        </a:xfrm>
        <a:custGeom>
          <a:avLst/>
          <a:gdLst>
            <a:gd name="connsiteX0" fmla="*/ 10249 w 7430531"/>
            <a:gd name="connsiteY0" fmla="*/ 3842078 h 4175929"/>
            <a:gd name="connsiteX1" fmla="*/ 717821 w 7430531"/>
            <a:gd name="connsiteY1" fmla="*/ 1202292 h 4175929"/>
            <a:gd name="connsiteX2" fmla="*/ 4137749 w 7430531"/>
            <a:gd name="connsiteY2" fmla="*/ 13935 h 4175929"/>
            <a:gd name="connsiteX3" fmla="*/ 7294606 w 7430531"/>
            <a:gd name="connsiteY3" fmla="*/ 1918935 h 4175929"/>
            <a:gd name="connsiteX4" fmla="*/ 6260463 w 7430531"/>
            <a:gd name="connsiteY4" fmla="*/ 3524578 h 4175929"/>
            <a:gd name="connsiteX5" fmla="*/ 971821 w 7430531"/>
            <a:gd name="connsiteY5" fmla="*/ 4105149 h 4175929"/>
            <a:gd name="connsiteX6" fmla="*/ 10249 w 7430531"/>
            <a:gd name="connsiteY6" fmla="*/ 3842078 h 4175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7430531" h="4175929">
              <a:moveTo>
                <a:pt x="10249" y="3842078"/>
              </a:moveTo>
              <a:cubicBezTo>
                <a:pt x="-32084" y="3358268"/>
                <a:pt x="29904" y="1840316"/>
                <a:pt x="717821" y="1202292"/>
              </a:cubicBezTo>
              <a:cubicBezTo>
                <a:pt x="1405738" y="564268"/>
                <a:pt x="3041618" y="-105506"/>
                <a:pt x="4137749" y="13935"/>
              </a:cubicBezTo>
              <a:cubicBezTo>
                <a:pt x="5233880" y="133375"/>
                <a:pt x="6940820" y="1333828"/>
                <a:pt x="7294606" y="1918935"/>
              </a:cubicBezTo>
              <a:cubicBezTo>
                <a:pt x="7648392" y="2504042"/>
                <a:pt x="7314261" y="3160209"/>
                <a:pt x="6260463" y="3524578"/>
              </a:cubicBezTo>
              <a:cubicBezTo>
                <a:pt x="5206666" y="3888947"/>
                <a:pt x="2008988" y="4053744"/>
                <a:pt x="971821" y="4105149"/>
              </a:cubicBezTo>
              <a:cubicBezTo>
                <a:pt x="-65346" y="4156554"/>
                <a:pt x="52582" y="4325888"/>
                <a:pt x="10249" y="3842078"/>
              </a:cubicBezTo>
              <a:close/>
            </a:path>
          </a:pathLst>
        </a:cu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254000</xdr:colOff>
      <xdr:row>2</xdr:row>
      <xdr:rowOff>136070</xdr:rowOff>
    </xdr:from>
    <xdr:to>
      <xdr:col>27</xdr:col>
      <xdr:colOff>181428</xdr:colOff>
      <xdr:row>43</xdr:row>
      <xdr:rowOff>95249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4CA31C1-68AF-4E5A-82D5-AA4F11AAF396}"/>
            </a:ext>
          </a:extLst>
        </xdr:cNvPr>
        <xdr:cNvSpPr/>
      </xdr:nvSpPr>
      <xdr:spPr>
        <a:xfrm>
          <a:off x="1473200" y="504370"/>
          <a:ext cx="15167428" cy="750932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255815</xdr:colOff>
      <xdr:row>5</xdr:row>
      <xdr:rowOff>157539</xdr:rowOff>
    </xdr:from>
    <xdr:to>
      <xdr:col>27</xdr:col>
      <xdr:colOff>181428</xdr:colOff>
      <xdr:row>43</xdr:row>
      <xdr:rowOff>95249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56390EA-E154-4BE5-BCF2-69980B34B72B}"/>
            </a:ext>
          </a:extLst>
        </xdr:cNvPr>
        <xdr:cNvSpPr/>
      </xdr:nvSpPr>
      <xdr:spPr>
        <a:xfrm>
          <a:off x="2084615" y="1078289"/>
          <a:ext cx="14556013" cy="693541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381000</xdr:colOff>
      <xdr:row>19</xdr:row>
      <xdr:rowOff>4532</xdr:rowOff>
    </xdr:from>
    <xdr:to>
      <xdr:col>3</xdr:col>
      <xdr:colOff>117930</xdr:colOff>
      <xdr:row>20</xdr:row>
      <xdr:rowOff>166308</xdr:rowOff>
    </xdr:to>
    <xdr:sp macro="" textlink="">
      <xdr:nvSpPr>
        <xdr:cNvPr id="6" name="Teardrop 5">
          <a:extLst>
            <a:ext uri="{FF2B5EF4-FFF2-40B4-BE49-F238E27FC236}">
              <a16:creationId xmlns:a16="http://schemas.microsoft.com/office/drawing/2014/main" id="{5B6E172B-ABF9-41D5-9381-A96614A98704}"/>
            </a:ext>
          </a:extLst>
        </xdr:cNvPr>
        <xdr:cNvSpPr/>
      </xdr:nvSpPr>
      <xdr:spPr>
        <a:xfrm>
          <a:off x="1608667" y="3422949"/>
          <a:ext cx="350763" cy="341692"/>
        </a:xfrm>
        <a:prstGeom prst="teardrop">
          <a:avLst/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417928</xdr:colOff>
      <xdr:row>12</xdr:row>
      <xdr:rowOff>72572</xdr:rowOff>
    </xdr:from>
    <xdr:to>
      <xdr:col>3</xdr:col>
      <xdr:colOff>94034</xdr:colOff>
      <xdr:row>13</xdr:row>
      <xdr:rowOff>174101</xdr:rowOff>
    </xdr:to>
    <xdr:pic>
      <xdr:nvPicPr>
        <xdr:cNvPr id="8" name="Graphic 7" descr="Address 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6DE400-37AA-487A-A48C-280FCA7BB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45595" y="2231572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14</xdr:row>
      <xdr:rowOff>120737</xdr:rowOff>
    </xdr:from>
    <xdr:to>
      <xdr:col>3</xdr:col>
      <xdr:colOff>94034</xdr:colOff>
      <xdr:row>16</xdr:row>
      <xdr:rowOff>42349</xdr:rowOff>
    </xdr:to>
    <xdr:pic>
      <xdr:nvPicPr>
        <xdr:cNvPr id="9" name="Graphic 8" descr="Ato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1CA174-63F0-4A8C-BAF1-AB043E364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645595" y="2639570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16</xdr:row>
      <xdr:rowOff>168902</xdr:rowOff>
    </xdr:from>
    <xdr:to>
      <xdr:col>3</xdr:col>
      <xdr:colOff>94034</xdr:colOff>
      <xdr:row>18</xdr:row>
      <xdr:rowOff>90515</xdr:rowOff>
    </xdr:to>
    <xdr:pic>
      <xdr:nvPicPr>
        <xdr:cNvPr id="10" name="Graphic 9" descr="Bank check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59E4335-D87F-4786-A601-408FC4BA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5595" y="3047569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19</xdr:row>
      <xdr:rowOff>37150</xdr:rowOff>
    </xdr:from>
    <xdr:to>
      <xdr:col>3</xdr:col>
      <xdr:colOff>94034</xdr:colOff>
      <xdr:row>20</xdr:row>
      <xdr:rowOff>138680</xdr:rowOff>
    </xdr:to>
    <xdr:pic>
      <xdr:nvPicPr>
        <xdr:cNvPr id="11" name="Graphic 10" descr="Beetl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AFD8FCD-384D-41D7-9E21-C426B2498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645595" y="3455567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21</xdr:row>
      <xdr:rowOff>85315</xdr:rowOff>
    </xdr:from>
    <xdr:to>
      <xdr:col>3</xdr:col>
      <xdr:colOff>94034</xdr:colOff>
      <xdr:row>23</xdr:row>
      <xdr:rowOff>6928</xdr:rowOff>
    </xdr:to>
    <xdr:pic>
      <xdr:nvPicPr>
        <xdr:cNvPr id="12" name="Graphic 11" descr="Bell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C943563-6AC8-4980-B1B4-54A55C063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645595" y="3863565"/>
          <a:ext cx="289939" cy="281446"/>
        </a:xfrm>
        <a:prstGeom prst="rect">
          <a:avLst/>
        </a:prstGeom>
      </xdr:spPr>
    </xdr:pic>
    <xdr:clientData/>
  </xdr:twoCellAnchor>
  <xdr:twoCellAnchor>
    <xdr:from>
      <xdr:col>23</xdr:col>
      <xdr:colOff>417286</xdr:colOff>
      <xdr:row>3</xdr:row>
      <xdr:rowOff>63498</xdr:rowOff>
    </xdr:from>
    <xdr:to>
      <xdr:col>26</xdr:col>
      <xdr:colOff>444500</xdr:colOff>
      <xdr:row>5</xdr:row>
      <xdr:rowOff>45356</xdr:rowOff>
    </xdr:to>
    <xdr:sp macro="" textlink="Sheet1!B3">
      <xdr:nvSpPr>
        <xdr:cNvPr id="13" name="Rectangle: Rounded Corners 12">
          <a:extLst>
            <a:ext uri="{FF2B5EF4-FFF2-40B4-BE49-F238E27FC236}">
              <a16:creationId xmlns:a16="http://schemas.microsoft.com/office/drawing/2014/main" id="{B9C38241-1BFF-4FD1-A8FC-517AB6E54088}"/>
            </a:ext>
          </a:extLst>
        </xdr:cNvPr>
        <xdr:cNvSpPr/>
      </xdr:nvSpPr>
      <xdr:spPr>
        <a:xfrm>
          <a:off x="14438086" y="615948"/>
          <a:ext cx="1856014" cy="350158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9966FF"/>
            </a:gs>
            <a:gs pos="100000">
              <a:srgbClr val="390058"/>
            </a:gs>
            <a:gs pos="44000">
              <a:srgbClr val="390058"/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0FAEF080-0D45-4A20-BAAD-775542B29B10}" type="TxLink">
            <a:rPr lang="en-US" sz="900" b="0" i="0" u="none" strike="noStrike">
              <a:solidFill>
                <a:schemeClr val="bg1"/>
              </a:solidFill>
              <a:latin typeface="Montserrat"/>
              <a:ea typeface="+mn-ea"/>
              <a:cs typeface="+mn-cs"/>
            </a:rPr>
            <a:pPr marL="0" indent="0" algn="ctr"/>
            <a:t>Quarterly Report</a:t>
          </a:fld>
          <a:endParaRPr lang="en-IN" sz="1000" b="0" i="0" u="none" strike="noStrike">
            <a:solidFill>
              <a:schemeClr val="bg1"/>
            </a:solidFill>
            <a:latin typeface="Montserra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252186</xdr:colOff>
      <xdr:row>3</xdr:row>
      <xdr:rowOff>63498</xdr:rowOff>
    </xdr:from>
    <xdr:to>
      <xdr:col>23</xdr:col>
      <xdr:colOff>279401</xdr:colOff>
      <xdr:row>5</xdr:row>
      <xdr:rowOff>45356</xdr:rowOff>
    </xdr:to>
    <xdr:sp macro="" textlink="Sheet1!B2">
      <xdr:nvSpPr>
        <xdr:cNvPr id="14" name="Rectangle: Rounded Corners 13">
          <a:extLst>
            <a:ext uri="{FF2B5EF4-FFF2-40B4-BE49-F238E27FC236}">
              <a16:creationId xmlns:a16="http://schemas.microsoft.com/office/drawing/2014/main" id="{A41EFBC5-8114-422B-AAB8-2EE36F0FD28C}"/>
            </a:ext>
          </a:extLst>
        </xdr:cNvPr>
        <xdr:cNvSpPr/>
      </xdr:nvSpPr>
      <xdr:spPr>
        <a:xfrm>
          <a:off x="12444186" y="615948"/>
          <a:ext cx="1856015" cy="350158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9966FF"/>
            </a:gs>
            <a:gs pos="100000">
              <a:srgbClr val="390058"/>
            </a:gs>
            <a:gs pos="44000">
              <a:srgbClr val="390058"/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A6DA619-8CDB-4AB8-9268-8BD4C18C5D2F}" type="TxLink">
            <a:rPr lang="en-US" sz="900" b="0" i="0" u="none" strike="noStrike">
              <a:solidFill>
                <a:schemeClr val="bg1"/>
              </a:solidFill>
              <a:latin typeface="Montserrat"/>
              <a:ea typeface="+mn-ea"/>
              <a:cs typeface="+mn-cs"/>
            </a:rPr>
            <a:pPr marL="0" indent="0" algn="ctr"/>
            <a:t>1st Jun - 15th Sep</a:t>
          </a:fld>
          <a:endParaRPr lang="en-IN" sz="12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281214</xdr:colOff>
      <xdr:row>3</xdr:row>
      <xdr:rowOff>72571</xdr:rowOff>
    </xdr:from>
    <xdr:to>
      <xdr:col>11</xdr:col>
      <xdr:colOff>36286</xdr:colOff>
      <xdr:row>5</xdr:row>
      <xdr:rowOff>36286</xdr:rowOff>
    </xdr:to>
    <xdr:sp macro="" textlink="Sheet1!B1">
      <xdr:nvSpPr>
        <xdr:cNvPr id="15" name="TextBox 14">
          <a:extLst>
            <a:ext uri="{FF2B5EF4-FFF2-40B4-BE49-F238E27FC236}">
              <a16:creationId xmlns:a16="http://schemas.microsoft.com/office/drawing/2014/main" id="{A18A9937-B963-4E21-8719-7AFB42298B1D}"/>
            </a:ext>
          </a:extLst>
        </xdr:cNvPr>
        <xdr:cNvSpPr txBox="1"/>
      </xdr:nvSpPr>
      <xdr:spPr>
        <a:xfrm>
          <a:off x="2110014" y="625021"/>
          <a:ext cx="4631872" cy="332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D76DF08B-6F96-4F8A-8194-AB7B8DB72D55}" type="TxLink">
            <a:rPr lang="en-US" sz="1100" b="0" i="0" u="none" strike="noStrike">
              <a:solidFill>
                <a:srgbClr val="390058"/>
              </a:solidFill>
              <a:latin typeface="Montserrat Medium" panose="00000600000000000000" pitchFamily="2" charset="0"/>
              <a:cs typeface="Calibri"/>
            </a:rPr>
            <a:pPr algn="l"/>
            <a:t>Performance Analytics Dashboard</a:t>
          </a:fld>
          <a:endParaRPr lang="en-IN" sz="1200" b="0" i="0" u="none" strike="noStrike">
            <a:solidFill>
              <a:srgbClr val="390058"/>
            </a:solidFill>
            <a:latin typeface="Montserrat Medium" panose="00000600000000000000" pitchFamily="2" charset="0"/>
            <a:cs typeface="Calibri"/>
          </a:endParaRPr>
        </a:p>
      </xdr:txBody>
    </xdr:sp>
    <xdr:clientData/>
  </xdr:twoCellAnchor>
  <xdr:twoCellAnchor>
    <xdr:from>
      <xdr:col>2</xdr:col>
      <xdr:colOff>351973</xdr:colOff>
      <xdr:row>3</xdr:row>
      <xdr:rowOff>18142</xdr:rowOff>
    </xdr:from>
    <xdr:to>
      <xdr:col>3</xdr:col>
      <xdr:colOff>217275</xdr:colOff>
      <xdr:row>5</xdr:row>
      <xdr:rowOff>163288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BA58160A-DA00-423B-A6F7-2ACCCA4C3E9C}"/>
            </a:ext>
          </a:extLst>
        </xdr:cNvPr>
        <xdr:cNvGrpSpPr/>
      </xdr:nvGrpSpPr>
      <xdr:grpSpPr>
        <a:xfrm>
          <a:off x="1545773" y="551542"/>
          <a:ext cx="462202" cy="500746"/>
          <a:chOff x="1721757" y="751115"/>
          <a:chExt cx="491673" cy="527960"/>
        </a:xfrm>
      </xdr:grpSpPr>
      <xdr:sp macro="" textlink="">
        <xdr:nvSpPr>
          <xdr:cNvPr id="17" name="Teardrop 16">
            <a:extLst>
              <a:ext uri="{FF2B5EF4-FFF2-40B4-BE49-F238E27FC236}">
                <a16:creationId xmlns:a16="http://schemas.microsoft.com/office/drawing/2014/main" id="{5F526675-8DCD-4CC2-B8BF-1AA761DBCF6F}"/>
              </a:ext>
            </a:extLst>
          </xdr:cNvPr>
          <xdr:cNvSpPr/>
        </xdr:nvSpPr>
        <xdr:spPr>
          <a:xfrm>
            <a:off x="1721757" y="751115"/>
            <a:ext cx="453571" cy="453571"/>
          </a:xfrm>
          <a:prstGeom prst="teardrop">
            <a:avLst/>
          </a:prstGeom>
          <a:solidFill>
            <a:srgbClr val="9966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8" name="Teardrop 17">
            <a:extLst>
              <a:ext uri="{FF2B5EF4-FFF2-40B4-BE49-F238E27FC236}">
                <a16:creationId xmlns:a16="http://schemas.microsoft.com/office/drawing/2014/main" id="{39678FEB-6F2D-4A19-BC6F-D36451876F5B}"/>
              </a:ext>
            </a:extLst>
          </xdr:cNvPr>
          <xdr:cNvSpPr/>
        </xdr:nvSpPr>
        <xdr:spPr>
          <a:xfrm>
            <a:off x="1759859" y="825504"/>
            <a:ext cx="453571" cy="453571"/>
          </a:xfrm>
          <a:prstGeom prst="teardrop">
            <a:avLst/>
          </a:prstGeom>
          <a:gradFill flip="none" rotWithShape="1">
            <a:gsLst>
              <a:gs pos="0">
                <a:srgbClr val="9966FF"/>
              </a:gs>
              <a:gs pos="100000">
                <a:srgbClr val="390058"/>
              </a:gs>
              <a:gs pos="44000">
                <a:srgbClr val="390058"/>
              </a:gs>
            </a:gsLst>
            <a:lin ang="2700000" scaled="1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3</xdr:col>
      <xdr:colOff>317501</xdr:colOff>
      <xdr:row>18</xdr:row>
      <xdr:rowOff>175380</xdr:rowOff>
    </xdr:from>
    <xdr:to>
      <xdr:col>3</xdr:col>
      <xdr:colOff>353501</xdr:colOff>
      <xdr:row>20</xdr:row>
      <xdr:rowOff>172523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50AA841A-C023-4671-8B8B-3C93E7B542DD}"/>
            </a:ext>
          </a:extLst>
        </xdr:cNvPr>
        <xdr:cNvSpPr/>
      </xdr:nvSpPr>
      <xdr:spPr>
        <a:xfrm>
          <a:off x="2159001" y="3413880"/>
          <a:ext cx="36000" cy="356976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117929</xdr:colOff>
      <xdr:row>7</xdr:row>
      <xdr:rowOff>18142</xdr:rowOff>
    </xdr:from>
    <xdr:to>
      <xdr:col>6</xdr:col>
      <xdr:colOff>54430</xdr:colOff>
      <xdr:row>35</xdr:row>
      <xdr:rowOff>54428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FA4A01D-F592-4550-97E0-763E2D18ECC1}"/>
            </a:ext>
          </a:extLst>
        </xdr:cNvPr>
        <xdr:cNvSpPr/>
      </xdr:nvSpPr>
      <xdr:spPr>
        <a:xfrm>
          <a:off x="2556329" y="1307192"/>
          <a:ext cx="1155701" cy="519248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254902</xdr:colOff>
      <xdr:row>8</xdr:row>
      <xdr:rowOff>119743</xdr:rowOff>
    </xdr:from>
    <xdr:to>
      <xdr:col>5</xdr:col>
      <xdr:colOff>544397</xdr:colOff>
      <xdr:row>9</xdr:row>
      <xdr:rowOff>147390</xdr:rowOff>
    </xdr:to>
    <xdr:sp macro="" textlink="Sheet1!C21">
      <xdr:nvSpPr>
        <xdr:cNvPr id="21" name="TextBox 20">
          <a:extLst>
            <a:ext uri="{FF2B5EF4-FFF2-40B4-BE49-F238E27FC236}">
              <a16:creationId xmlns:a16="http://schemas.microsoft.com/office/drawing/2014/main" id="{3DC77698-69C9-4981-8FD6-6304FAFD62B6}"/>
            </a:ext>
          </a:extLst>
        </xdr:cNvPr>
        <xdr:cNvSpPr txBox="1"/>
      </xdr:nvSpPr>
      <xdr:spPr>
        <a:xfrm>
          <a:off x="2693302" y="1592943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45427325-9F4F-45FF-A346-255B4FCE87D4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Visits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9</xdr:row>
      <xdr:rowOff>88470</xdr:rowOff>
    </xdr:from>
    <xdr:to>
      <xdr:col>5</xdr:col>
      <xdr:colOff>541678</xdr:colOff>
      <xdr:row>10</xdr:row>
      <xdr:rowOff>116116</xdr:rowOff>
    </xdr:to>
    <xdr:sp macro="" textlink="Sheet1!D21">
      <xdr:nvSpPr>
        <xdr:cNvPr id="22" name="TextBox 21">
          <a:extLst>
            <a:ext uri="{FF2B5EF4-FFF2-40B4-BE49-F238E27FC236}">
              <a16:creationId xmlns:a16="http://schemas.microsoft.com/office/drawing/2014/main" id="{F479BDF3-07F9-41C1-BFEB-6B720FC1C633}"/>
            </a:ext>
          </a:extLst>
        </xdr:cNvPr>
        <xdr:cNvSpPr txBox="1"/>
      </xdr:nvSpPr>
      <xdr:spPr>
        <a:xfrm>
          <a:off x="2690583" y="1745820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7AF8DCC1-F749-46B2-8E23-83D708A61C32}" type="TxLink">
            <a:rPr lang="en-US" sz="1000" b="1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65 800</a:t>
          </a:fld>
          <a:endParaRPr lang="en-IN" sz="105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11</xdr:row>
      <xdr:rowOff>35077</xdr:rowOff>
    </xdr:from>
    <xdr:to>
      <xdr:col>5</xdr:col>
      <xdr:colOff>544397</xdr:colOff>
      <xdr:row>12</xdr:row>
      <xdr:rowOff>62723</xdr:rowOff>
    </xdr:to>
    <xdr:sp macro="" textlink="Sheet1!C22">
      <xdr:nvSpPr>
        <xdr:cNvPr id="23" name="TextBox 22">
          <a:extLst>
            <a:ext uri="{FF2B5EF4-FFF2-40B4-BE49-F238E27FC236}">
              <a16:creationId xmlns:a16="http://schemas.microsoft.com/office/drawing/2014/main" id="{8350BF44-C2BB-409B-AC5D-C7C6E6784175}"/>
            </a:ext>
          </a:extLst>
        </xdr:cNvPr>
        <xdr:cNvSpPr txBox="1"/>
      </xdr:nvSpPr>
      <xdr:spPr>
        <a:xfrm>
          <a:off x="2693302" y="2060727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DB4994B-D64B-449B-9D2E-5C7C5D5E27F6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Page Views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12</xdr:row>
      <xdr:rowOff>3803</xdr:rowOff>
    </xdr:from>
    <xdr:to>
      <xdr:col>5</xdr:col>
      <xdr:colOff>541678</xdr:colOff>
      <xdr:row>13</xdr:row>
      <xdr:rowOff>31450</xdr:rowOff>
    </xdr:to>
    <xdr:sp macro="" textlink="Sheet1!D22">
      <xdr:nvSpPr>
        <xdr:cNvPr id="24" name="TextBox 23">
          <a:extLst>
            <a:ext uri="{FF2B5EF4-FFF2-40B4-BE49-F238E27FC236}">
              <a16:creationId xmlns:a16="http://schemas.microsoft.com/office/drawing/2014/main" id="{815E8FD5-F1E6-459D-BF10-B495D4B50523}"/>
            </a:ext>
          </a:extLst>
        </xdr:cNvPr>
        <xdr:cNvSpPr txBox="1"/>
      </xdr:nvSpPr>
      <xdr:spPr>
        <a:xfrm>
          <a:off x="2690583" y="2213603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FB362E6-7109-4C94-BFB3-6CDE56B12D02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100 480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13</xdr:row>
      <xdr:rowOff>131839</xdr:rowOff>
    </xdr:from>
    <xdr:to>
      <xdr:col>5</xdr:col>
      <xdr:colOff>544397</xdr:colOff>
      <xdr:row>14</xdr:row>
      <xdr:rowOff>159485</xdr:rowOff>
    </xdr:to>
    <xdr:sp macro="" textlink="Sheet1!C23">
      <xdr:nvSpPr>
        <xdr:cNvPr id="25" name="TextBox 24">
          <a:extLst>
            <a:ext uri="{FF2B5EF4-FFF2-40B4-BE49-F238E27FC236}">
              <a16:creationId xmlns:a16="http://schemas.microsoft.com/office/drawing/2014/main" id="{864397E1-7626-4E3C-AD36-B49F5D6463B7}"/>
            </a:ext>
          </a:extLst>
        </xdr:cNvPr>
        <xdr:cNvSpPr txBox="1"/>
      </xdr:nvSpPr>
      <xdr:spPr>
        <a:xfrm>
          <a:off x="2693302" y="2525789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4F4D1ECD-53BF-4EA3-AC1D-8A83292BD409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Bounce Rate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14</xdr:row>
      <xdr:rowOff>100565</xdr:rowOff>
    </xdr:from>
    <xdr:to>
      <xdr:col>5</xdr:col>
      <xdr:colOff>541678</xdr:colOff>
      <xdr:row>15</xdr:row>
      <xdr:rowOff>128211</xdr:rowOff>
    </xdr:to>
    <xdr:sp macro="" textlink="Sheet1!D23">
      <xdr:nvSpPr>
        <xdr:cNvPr id="26" name="TextBox 25">
          <a:extLst>
            <a:ext uri="{FF2B5EF4-FFF2-40B4-BE49-F238E27FC236}">
              <a16:creationId xmlns:a16="http://schemas.microsoft.com/office/drawing/2014/main" id="{C20B0ACD-00E9-41DA-93E4-0E3BAAA407BB}"/>
            </a:ext>
          </a:extLst>
        </xdr:cNvPr>
        <xdr:cNvSpPr txBox="1"/>
      </xdr:nvSpPr>
      <xdr:spPr>
        <a:xfrm>
          <a:off x="2690583" y="2678665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A9D1424-E58E-4A1D-AAF0-D58EECBFB925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45%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16</xdr:row>
      <xdr:rowOff>47172</xdr:rowOff>
    </xdr:from>
    <xdr:to>
      <xdr:col>5</xdr:col>
      <xdr:colOff>544397</xdr:colOff>
      <xdr:row>17</xdr:row>
      <xdr:rowOff>74818</xdr:rowOff>
    </xdr:to>
    <xdr:sp macro="" textlink="Sheet1!C24">
      <xdr:nvSpPr>
        <xdr:cNvPr id="27" name="TextBox 26">
          <a:extLst>
            <a:ext uri="{FF2B5EF4-FFF2-40B4-BE49-F238E27FC236}">
              <a16:creationId xmlns:a16="http://schemas.microsoft.com/office/drawing/2014/main" id="{0277A1A4-0F9A-45B8-9192-AF4099D85949}"/>
            </a:ext>
          </a:extLst>
        </xdr:cNvPr>
        <xdr:cNvSpPr txBox="1"/>
      </xdr:nvSpPr>
      <xdr:spPr>
        <a:xfrm>
          <a:off x="2693302" y="2993572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7113FD0-93D4-44F4-80F3-773230FC75F1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Exit Rate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17</xdr:row>
      <xdr:rowOff>15898</xdr:rowOff>
    </xdr:from>
    <xdr:to>
      <xdr:col>5</xdr:col>
      <xdr:colOff>541678</xdr:colOff>
      <xdr:row>18</xdr:row>
      <xdr:rowOff>43545</xdr:rowOff>
    </xdr:to>
    <xdr:sp macro="" textlink="Sheet1!D24">
      <xdr:nvSpPr>
        <xdr:cNvPr id="28" name="TextBox 27">
          <a:extLst>
            <a:ext uri="{FF2B5EF4-FFF2-40B4-BE49-F238E27FC236}">
              <a16:creationId xmlns:a16="http://schemas.microsoft.com/office/drawing/2014/main" id="{081F40C3-6514-4069-8B5B-45CBE18BF879}"/>
            </a:ext>
          </a:extLst>
        </xdr:cNvPr>
        <xdr:cNvSpPr txBox="1"/>
      </xdr:nvSpPr>
      <xdr:spPr>
        <a:xfrm>
          <a:off x="2690583" y="3146448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8BB8D4B-0E4E-487D-8578-74D47CC46EC7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44%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18</xdr:row>
      <xdr:rowOff>143934</xdr:rowOff>
    </xdr:from>
    <xdr:to>
      <xdr:col>5</xdr:col>
      <xdr:colOff>544397</xdr:colOff>
      <xdr:row>19</xdr:row>
      <xdr:rowOff>171580</xdr:rowOff>
    </xdr:to>
    <xdr:sp macro="" textlink="Sheet1!C25">
      <xdr:nvSpPr>
        <xdr:cNvPr id="29" name="TextBox 28">
          <a:extLst>
            <a:ext uri="{FF2B5EF4-FFF2-40B4-BE49-F238E27FC236}">
              <a16:creationId xmlns:a16="http://schemas.microsoft.com/office/drawing/2014/main" id="{E03B9F4B-C681-4617-AAE7-C4B0E0BBC486}"/>
            </a:ext>
          </a:extLst>
        </xdr:cNvPr>
        <xdr:cNvSpPr txBox="1"/>
      </xdr:nvSpPr>
      <xdr:spPr>
        <a:xfrm>
          <a:off x="2693302" y="3458634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7AC2CE0-E7A9-4E65-9596-973F56CBADF8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Organic Traffic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19</xdr:row>
      <xdr:rowOff>112660</xdr:rowOff>
    </xdr:from>
    <xdr:to>
      <xdr:col>5</xdr:col>
      <xdr:colOff>541678</xdr:colOff>
      <xdr:row>20</xdr:row>
      <xdr:rowOff>140307</xdr:rowOff>
    </xdr:to>
    <xdr:sp macro="" textlink="Sheet1!D25">
      <xdr:nvSpPr>
        <xdr:cNvPr id="30" name="TextBox 29">
          <a:extLst>
            <a:ext uri="{FF2B5EF4-FFF2-40B4-BE49-F238E27FC236}">
              <a16:creationId xmlns:a16="http://schemas.microsoft.com/office/drawing/2014/main" id="{347D2CBC-7FAC-4D1E-9546-C44C6E16AC20}"/>
            </a:ext>
          </a:extLst>
        </xdr:cNvPr>
        <xdr:cNvSpPr txBox="1"/>
      </xdr:nvSpPr>
      <xdr:spPr>
        <a:xfrm>
          <a:off x="2690583" y="3611510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5BDF479-2A39-4329-9821-6DAC5E8F9761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31 300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21</xdr:row>
      <xdr:rowOff>59267</xdr:rowOff>
    </xdr:from>
    <xdr:to>
      <xdr:col>5</xdr:col>
      <xdr:colOff>544397</xdr:colOff>
      <xdr:row>22</xdr:row>
      <xdr:rowOff>86913</xdr:rowOff>
    </xdr:to>
    <xdr:sp macro="" textlink="Sheet1!C26">
      <xdr:nvSpPr>
        <xdr:cNvPr id="31" name="TextBox 30">
          <a:extLst>
            <a:ext uri="{FF2B5EF4-FFF2-40B4-BE49-F238E27FC236}">
              <a16:creationId xmlns:a16="http://schemas.microsoft.com/office/drawing/2014/main" id="{E1C7D26D-6F14-4794-A6C6-ADABF073BDEB}"/>
            </a:ext>
          </a:extLst>
        </xdr:cNvPr>
        <xdr:cNvSpPr txBox="1"/>
      </xdr:nvSpPr>
      <xdr:spPr>
        <a:xfrm>
          <a:off x="2693302" y="3926417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DCAAB2E-1386-46B0-AAF8-FC8E60648403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Paid Traffic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22</xdr:row>
      <xdr:rowOff>27993</xdr:rowOff>
    </xdr:from>
    <xdr:to>
      <xdr:col>5</xdr:col>
      <xdr:colOff>541678</xdr:colOff>
      <xdr:row>23</xdr:row>
      <xdr:rowOff>55640</xdr:rowOff>
    </xdr:to>
    <xdr:sp macro="" textlink="Sheet1!D26">
      <xdr:nvSpPr>
        <xdr:cNvPr id="32" name="TextBox 31">
          <a:extLst>
            <a:ext uri="{FF2B5EF4-FFF2-40B4-BE49-F238E27FC236}">
              <a16:creationId xmlns:a16="http://schemas.microsoft.com/office/drawing/2014/main" id="{A80CAC8C-B003-4EF7-A365-40AD575FBFDE}"/>
            </a:ext>
          </a:extLst>
        </xdr:cNvPr>
        <xdr:cNvSpPr txBox="1"/>
      </xdr:nvSpPr>
      <xdr:spPr>
        <a:xfrm>
          <a:off x="2690583" y="4079293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52BA47A-4C3C-484E-B112-CBCE5E804B53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7 280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23</xdr:row>
      <xdr:rowOff>156029</xdr:rowOff>
    </xdr:from>
    <xdr:to>
      <xdr:col>5</xdr:col>
      <xdr:colOff>544397</xdr:colOff>
      <xdr:row>25</xdr:row>
      <xdr:rowOff>2247</xdr:rowOff>
    </xdr:to>
    <xdr:sp macro="" textlink="Sheet1!C27">
      <xdr:nvSpPr>
        <xdr:cNvPr id="33" name="TextBox 32">
          <a:extLst>
            <a:ext uri="{FF2B5EF4-FFF2-40B4-BE49-F238E27FC236}">
              <a16:creationId xmlns:a16="http://schemas.microsoft.com/office/drawing/2014/main" id="{2E030D1D-B7CC-4092-ABCD-C84167CEF876}"/>
            </a:ext>
          </a:extLst>
        </xdr:cNvPr>
        <xdr:cNvSpPr txBox="1"/>
      </xdr:nvSpPr>
      <xdr:spPr>
        <a:xfrm>
          <a:off x="2693302" y="4391479"/>
          <a:ext cx="899095" cy="214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920EDD6-0D34-47E4-BB24-87E3E79276AB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Direct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24</xdr:row>
      <xdr:rowOff>124755</xdr:rowOff>
    </xdr:from>
    <xdr:to>
      <xdr:col>5</xdr:col>
      <xdr:colOff>541678</xdr:colOff>
      <xdr:row>25</xdr:row>
      <xdr:rowOff>152402</xdr:rowOff>
    </xdr:to>
    <xdr:sp macro="" textlink="Sheet1!D27">
      <xdr:nvSpPr>
        <xdr:cNvPr id="34" name="TextBox 33">
          <a:extLst>
            <a:ext uri="{FF2B5EF4-FFF2-40B4-BE49-F238E27FC236}">
              <a16:creationId xmlns:a16="http://schemas.microsoft.com/office/drawing/2014/main" id="{090B5F44-A7F9-4964-A5AC-5B9655595A86}"/>
            </a:ext>
          </a:extLst>
        </xdr:cNvPr>
        <xdr:cNvSpPr txBox="1"/>
      </xdr:nvSpPr>
      <xdr:spPr>
        <a:xfrm>
          <a:off x="2690583" y="4544355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A81CE9A-2667-4A8D-A754-8D5B7777037A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7 750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26</xdr:row>
      <xdr:rowOff>71362</xdr:rowOff>
    </xdr:from>
    <xdr:to>
      <xdr:col>5</xdr:col>
      <xdr:colOff>544397</xdr:colOff>
      <xdr:row>27</xdr:row>
      <xdr:rowOff>99009</xdr:rowOff>
    </xdr:to>
    <xdr:sp macro="" textlink="Sheet1!C28">
      <xdr:nvSpPr>
        <xdr:cNvPr id="35" name="TextBox 34">
          <a:extLst>
            <a:ext uri="{FF2B5EF4-FFF2-40B4-BE49-F238E27FC236}">
              <a16:creationId xmlns:a16="http://schemas.microsoft.com/office/drawing/2014/main" id="{79EAEBCB-B6D1-48E0-A37F-9B4ADADCA2D6}"/>
            </a:ext>
          </a:extLst>
        </xdr:cNvPr>
        <xdr:cNvSpPr txBox="1"/>
      </xdr:nvSpPr>
      <xdr:spPr>
        <a:xfrm>
          <a:off x="2693302" y="4859262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8831F4E-923E-4C8A-9E8E-61FE8A37FDC5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Social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27</xdr:row>
      <xdr:rowOff>40089</xdr:rowOff>
    </xdr:from>
    <xdr:to>
      <xdr:col>5</xdr:col>
      <xdr:colOff>541678</xdr:colOff>
      <xdr:row>28</xdr:row>
      <xdr:rowOff>67735</xdr:rowOff>
    </xdr:to>
    <xdr:sp macro="" textlink="Sheet1!D28">
      <xdr:nvSpPr>
        <xdr:cNvPr id="36" name="TextBox 35">
          <a:extLst>
            <a:ext uri="{FF2B5EF4-FFF2-40B4-BE49-F238E27FC236}">
              <a16:creationId xmlns:a16="http://schemas.microsoft.com/office/drawing/2014/main" id="{084A2372-99DD-40CC-A39C-1F7F44200E97}"/>
            </a:ext>
          </a:extLst>
        </xdr:cNvPr>
        <xdr:cNvSpPr txBox="1"/>
      </xdr:nvSpPr>
      <xdr:spPr>
        <a:xfrm>
          <a:off x="2690583" y="5012139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7B94C1D-F74E-4233-AA66-92EAA8CA10BE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2 540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28</xdr:row>
      <xdr:rowOff>168124</xdr:rowOff>
    </xdr:from>
    <xdr:to>
      <xdr:col>5</xdr:col>
      <xdr:colOff>544397</xdr:colOff>
      <xdr:row>30</xdr:row>
      <xdr:rowOff>14342</xdr:rowOff>
    </xdr:to>
    <xdr:sp macro="" textlink="Sheet1!C29">
      <xdr:nvSpPr>
        <xdr:cNvPr id="37" name="TextBox 36">
          <a:extLst>
            <a:ext uri="{FF2B5EF4-FFF2-40B4-BE49-F238E27FC236}">
              <a16:creationId xmlns:a16="http://schemas.microsoft.com/office/drawing/2014/main" id="{003A868E-CCDC-4AA5-9297-195120F8E4F7}"/>
            </a:ext>
          </a:extLst>
        </xdr:cNvPr>
        <xdr:cNvSpPr txBox="1"/>
      </xdr:nvSpPr>
      <xdr:spPr>
        <a:xfrm>
          <a:off x="2693302" y="5324324"/>
          <a:ext cx="899095" cy="214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77D5058-F28F-490B-A728-2D3D325C2C5C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Referral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29</xdr:row>
      <xdr:rowOff>136850</xdr:rowOff>
    </xdr:from>
    <xdr:to>
      <xdr:col>5</xdr:col>
      <xdr:colOff>541678</xdr:colOff>
      <xdr:row>30</xdr:row>
      <xdr:rowOff>164497</xdr:rowOff>
    </xdr:to>
    <xdr:sp macro="" textlink="Sheet1!D29">
      <xdr:nvSpPr>
        <xdr:cNvPr id="38" name="TextBox 37">
          <a:extLst>
            <a:ext uri="{FF2B5EF4-FFF2-40B4-BE49-F238E27FC236}">
              <a16:creationId xmlns:a16="http://schemas.microsoft.com/office/drawing/2014/main" id="{CC004FA5-5FAA-4228-8310-06F14237FF4E}"/>
            </a:ext>
          </a:extLst>
        </xdr:cNvPr>
        <xdr:cNvSpPr txBox="1"/>
      </xdr:nvSpPr>
      <xdr:spPr>
        <a:xfrm>
          <a:off x="2690583" y="5477200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C522332-87E7-4CA4-BA25-F933180AE898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16 930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31</xdr:row>
      <xdr:rowOff>83458</xdr:rowOff>
    </xdr:from>
    <xdr:to>
      <xdr:col>5</xdr:col>
      <xdr:colOff>544397</xdr:colOff>
      <xdr:row>32</xdr:row>
      <xdr:rowOff>111105</xdr:rowOff>
    </xdr:to>
    <xdr:sp macro="" textlink="Sheet1!C30">
      <xdr:nvSpPr>
        <xdr:cNvPr id="39" name="TextBox 38">
          <a:extLst>
            <a:ext uri="{FF2B5EF4-FFF2-40B4-BE49-F238E27FC236}">
              <a16:creationId xmlns:a16="http://schemas.microsoft.com/office/drawing/2014/main" id="{21B22CB6-E33D-4414-8E59-980FA991B86D}"/>
            </a:ext>
          </a:extLst>
        </xdr:cNvPr>
        <xdr:cNvSpPr txBox="1"/>
      </xdr:nvSpPr>
      <xdr:spPr>
        <a:xfrm>
          <a:off x="2693302" y="5792108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9DA521A-3836-45B7-90AD-B316D5309A36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Top Location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32</xdr:row>
      <xdr:rowOff>52185</xdr:rowOff>
    </xdr:from>
    <xdr:to>
      <xdr:col>5</xdr:col>
      <xdr:colOff>541678</xdr:colOff>
      <xdr:row>33</xdr:row>
      <xdr:rowOff>79831</xdr:rowOff>
    </xdr:to>
    <xdr:sp macro="" textlink="Sheet1!D30">
      <xdr:nvSpPr>
        <xdr:cNvPr id="40" name="TextBox 39">
          <a:extLst>
            <a:ext uri="{FF2B5EF4-FFF2-40B4-BE49-F238E27FC236}">
              <a16:creationId xmlns:a16="http://schemas.microsoft.com/office/drawing/2014/main" id="{4088DAEE-09CB-455E-AB2B-DA47AC6B7BBD}"/>
            </a:ext>
          </a:extLst>
        </xdr:cNvPr>
        <xdr:cNvSpPr txBox="1"/>
      </xdr:nvSpPr>
      <xdr:spPr>
        <a:xfrm>
          <a:off x="2690583" y="5944985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32F34E3-41F9-4CF5-8942-76047CC92CFE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Japan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317500</xdr:colOff>
      <xdr:row>7</xdr:row>
      <xdr:rowOff>18142</xdr:rowOff>
    </xdr:from>
    <xdr:to>
      <xdr:col>12</xdr:col>
      <xdr:colOff>480785</xdr:colOff>
      <xdr:row>20</xdr:row>
      <xdr:rowOff>136071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481D4E3-E3D3-4C7C-9723-F0AB89436B79}"/>
            </a:ext>
          </a:extLst>
        </xdr:cNvPr>
        <xdr:cNvSpPr/>
      </xdr:nvSpPr>
      <xdr:spPr>
        <a:xfrm>
          <a:off x="3975100" y="1307192"/>
          <a:ext cx="3820885" cy="251187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353786</xdr:colOff>
      <xdr:row>9</xdr:row>
      <xdr:rowOff>36286</xdr:rowOff>
    </xdr:from>
    <xdr:to>
      <xdr:col>12</xdr:col>
      <xdr:colOff>480785</xdr:colOff>
      <xdr:row>20</xdr:row>
      <xdr:rowOff>117928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C5F899F1-31DD-4FD7-8F47-95F88174B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335643</xdr:colOff>
      <xdr:row>7</xdr:row>
      <xdr:rowOff>72571</xdr:rowOff>
    </xdr:from>
    <xdr:to>
      <xdr:col>9</xdr:col>
      <xdr:colOff>235858</xdr:colOff>
      <xdr:row>8</xdr:row>
      <xdr:rowOff>117928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D35A960-FDBF-4CE5-A0E5-BB88AC413001}"/>
            </a:ext>
          </a:extLst>
        </xdr:cNvPr>
        <xdr:cNvSpPr txBox="1"/>
      </xdr:nvSpPr>
      <xdr:spPr>
        <a:xfrm>
          <a:off x="3993243" y="1361621"/>
          <a:ext cx="1729015" cy="22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Visits &amp; Page Views</a:t>
          </a:r>
        </a:p>
      </xdr:txBody>
    </xdr:sp>
    <xdr:clientData/>
  </xdr:twoCellAnchor>
  <xdr:twoCellAnchor>
    <xdr:from>
      <xdr:col>13</xdr:col>
      <xdr:colOff>143329</xdr:colOff>
      <xdr:row>7</xdr:row>
      <xdr:rowOff>25399</xdr:rowOff>
    </xdr:from>
    <xdr:to>
      <xdr:col>19</xdr:col>
      <xdr:colOff>306614</xdr:colOff>
      <xdr:row>20</xdr:row>
      <xdr:rowOff>143328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A4FF895-8600-43BB-97F2-09C11AB9FEA5}"/>
            </a:ext>
          </a:extLst>
        </xdr:cNvPr>
        <xdr:cNvSpPr/>
      </xdr:nvSpPr>
      <xdr:spPr>
        <a:xfrm>
          <a:off x="8068129" y="1314449"/>
          <a:ext cx="3820885" cy="251187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161472</xdr:colOff>
      <xdr:row>7</xdr:row>
      <xdr:rowOff>79828</xdr:rowOff>
    </xdr:from>
    <xdr:to>
      <xdr:col>16</xdr:col>
      <xdr:colOff>61687</xdr:colOff>
      <xdr:row>8</xdr:row>
      <xdr:rowOff>125185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384AD10-E980-47E9-A4EF-3D223C6389F7}"/>
            </a:ext>
          </a:extLst>
        </xdr:cNvPr>
        <xdr:cNvSpPr txBox="1"/>
      </xdr:nvSpPr>
      <xdr:spPr>
        <a:xfrm>
          <a:off x="8086272" y="1368878"/>
          <a:ext cx="1729015" cy="22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Bounce &amp;</a:t>
          </a:r>
          <a:r>
            <a:rPr lang="en-IN" sz="900" b="1" i="0" u="none" strike="noStrike" baseline="0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 Exit Rate</a:t>
          </a:r>
          <a:endParaRPr lang="en-IN" sz="9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13</xdr:col>
      <xdr:colOff>136072</xdr:colOff>
      <xdr:row>8</xdr:row>
      <xdr:rowOff>90714</xdr:rowOff>
    </xdr:from>
    <xdr:to>
      <xdr:col>19</xdr:col>
      <xdr:colOff>299357</xdr:colOff>
      <xdr:row>20</xdr:row>
      <xdr:rowOff>154214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FB210649-D9D5-436F-8985-A26577CEF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306614</xdr:colOff>
      <xdr:row>21</xdr:row>
      <xdr:rowOff>125185</xdr:rowOff>
    </xdr:from>
    <xdr:to>
      <xdr:col>12</xdr:col>
      <xdr:colOff>469899</xdr:colOff>
      <xdr:row>35</xdr:row>
      <xdr:rowOff>61685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F4C7BB28-3858-45C5-B22B-DF5F252657AA}"/>
            </a:ext>
          </a:extLst>
        </xdr:cNvPr>
        <xdr:cNvSpPr/>
      </xdr:nvSpPr>
      <xdr:spPr>
        <a:xfrm>
          <a:off x="3964214" y="3992335"/>
          <a:ext cx="3820885" cy="25146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324757</xdr:colOff>
      <xdr:row>21</xdr:row>
      <xdr:rowOff>179614</xdr:rowOff>
    </xdr:from>
    <xdr:to>
      <xdr:col>9</xdr:col>
      <xdr:colOff>224972</xdr:colOff>
      <xdr:row>23</xdr:row>
      <xdr:rowOff>43543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F56292B-18FB-4410-8ECE-3BF4F760082F}"/>
            </a:ext>
          </a:extLst>
        </xdr:cNvPr>
        <xdr:cNvSpPr txBox="1"/>
      </xdr:nvSpPr>
      <xdr:spPr>
        <a:xfrm>
          <a:off x="3982357" y="4046764"/>
          <a:ext cx="1729015" cy="232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Organic Vs. Paid</a:t>
          </a:r>
        </a:p>
      </xdr:txBody>
    </xdr:sp>
    <xdr:clientData/>
  </xdr:twoCellAnchor>
  <xdr:twoCellAnchor>
    <xdr:from>
      <xdr:col>6</xdr:col>
      <xdr:colOff>264887</xdr:colOff>
      <xdr:row>23</xdr:row>
      <xdr:rowOff>0</xdr:rowOff>
    </xdr:from>
    <xdr:to>
      <xdr:col>12</xdr:col>
      <xdr:colOff>489856</xdr:colOff>
      <xdr:row>35</xdr:row>
      <xdr:rowOff>99786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6FE3E95B-3A15-40F6-9B75-B104779C4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</xdr:col>
      <xdr:colOff>141514</xdr:colOff>
      <xdr:row>21</xdr:row>
      <xdr:rowOff>132442</xdr:rowOff>
    </xdr:from>
    <xdr:to>
      <xdr:col>19</xdr:col>
      <xdr:colOff>304799</xdr:colOff>
      <xdr:row>35</xdr:row>
      <xdr:rowOff>68942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3348C71-9958-465D-A9C2-BD3B4B298B43}"/>
            </a:ext>
          </a:extLst>
        </xdr:cNvPr>
        <xdr:cNvSpPr/>
      </xdr:nvSpPr>
      <xdr:spPr>
        <a:xfrm>
          <a:off x="8066314" y="3999592"/>
          <a:ext cx="3820885" cy="25146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161472</xdr:colOff>
      <xdr:row>21</xdr:row>
      <xdr:rowOff>179614</xdr:rowOff>
    </xdr:from>
    <xdr:to>
      <xdr:col>16</xdr:col>
      <xdr:colOff>423334</xdr:colOff>
      <xdr:row>23</xdr:row>
      <xdr:rowOff>52917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F705316-F2FC-4653-8D52-CD0259FF702E}"/>
            </a:ext>
          </a:extLst>
        </xdr:cNvPr>
        <xdr:cNvSpPr txBox="1"/>
      </xdr:nvSpPr>
      <xdr:spPr>
        <a:xfrm>
          <a:off x="8086272" y="4046764"/>
          <a:ext cx="2090662" cy="2416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Direct Vs. Social Vs. Referral</a:t>
          </a:r>
        </a:p>
      </xdr:txBody>
    </xdr:sp>
    <xdr:clientData/>
  </xdr:twoCellAnchor>
  <xdr:twoCellAnchor>
    <xdr:from>
      <xdr:col>13</xdr:col>
      <xdr:colOff>154214</xdr:colOff>
      <xdr:row>23</xdr:row>
      <xdr:rowOff>99785</xdr:rowOff>
    </xdr:from>
    <xdr:to>
      <xdr:col>19</xdr:col>
      <xdr:colOff>263071</xdr:colOff>
      <xdr:row>35</xdr:row>
      <xdr:rowOff>99785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CD24256A-BBFF-4B57-9355-7079394AE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19</xdr:col>
      <xdr:colOff>576941</xdr:colOff>
      <xdr:row>7</xdr:row>
      <xdr:rowOff>14513</xdr:rowOff>
    </xdr:from>
    <xdr:to>
      <xdr:col>26</xdr:col>
      <xdr:colOff>326570</xdr:colOff>
      <xdr:row>35</xdr:row>
      <xdr:rowOff>72570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EF95CBA8-14E2-4066-8F81-4D555151F541}"/>
            </a:ext>
          </a:extLst>
        </xdr:cNvPr>
        <xdr:cNvSpPr/>
      </xdr:nvSpPr>
      <xdr:spPr>
        <a:xfrm>
          <a:off x="12159341" y="1303563"/>
          <a:ext cx="4016829" cy="5214257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595085</xdr:colOff>
      <xdr:row>7</xdr:row>
      <xdr:rowOff>68943</xdr:rowOff>
    </xdr:from>
    <xdr:to>
      <xdr:col>22</xdr:col>
      <xdr:colOff>495300</xdr:colOff>
      <xdr:row>8</xdr:row>
      <xdr:rowOff>114300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69E820A-43ED-41D9-B05B-964BF241282E}"/>
            </a:ext>
          </a:extLst>
        </xdr:cNvPr>
        <xdr:cNvSpPr txBox="1"/>
      </xdr:nvSpPr>
      <xdr:spPr>
        <a:xfrm>
          <a:off x="12177485" y="1357993"/>
          <a:ext cx="1729015" cy="22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Geographic</a:t>
          </a:r>
        </a:p>
      </xdr:txBody>
    </xdr:sp>
    <xdr:clientData/>
  </xdr:twoCellAnchor>
  <xdr:twoCellAnchor>
    <xdr:from>
      <xdr:col>20</xdr:col>
      <xdr:colOff>172357</xdr:colOff>
      <xdr:row>10</xdr:row>
      <xdr:rowOff>74083</xdr:rowOff>
    </xdr:from>
    <xdr:to>
      <xdr:col>26</xdr:col>
      <xdr:colOff>226785</xdr:colOff>
      <xdr:row>34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2C1C583C-5DD6-436F-9EF6-F9C22460C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22</xdr:col>
      <xdr:colOff>117928</xdr:colOff>
      <xdr:row>19</xdr:row>
      <xdr:rowOff>176890</xdr:rowOff>
    </xdr:from>
    <xdr:to>
      <xdr:col>24</xdr:col>
      <xdr:colOff>281214</xdr:colOff>
      <xdr:row>23</xdr:row>
      <xdr:rowOff>24189</xdr:rowOff>
    </xdr:to>
    <xdr:sp macro="" textlink="Sheet1!H22">
      <xdr:nvSpPr>
        <xdr:cNvPr id="56" name="TextBox 55">
          <a:extLst>
            <a:ext uri="{FF2B5EF4-FFF2-40B4-BE49-F238E27FC236}">
              <a16:creationId xmlns:a16="http://schemas.microsoft.com/office/drawing/2014/main" id="{45A4AA81-FE6A-4D28-9C52-39683CA81F0D}"/>
            </a:ext>
          </a:extLst>
        </xdr:cNvPr>
        <xdr:cNvSpPr txBox="1"/>
      </xdr:nvSpPr>
      <xdr:spPr>
        <a:xfrm>
          <a:off x="13529128" y="3675740"/>
          <a:ext cx="1382486" cy="583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DEA691D-662C-4728-AA60-832046A27461}" type="TxLink">
            <a:rPr lang="en-US" sz="900" b="1" i="0" u="none" strike="noStrike">
              <a:solidFill>
                <a:srgbClr val="390058"/>
              </a:solidFill>
              <a:latin typeface="Montserrat"/>
              <a:cs typeface="Calibri"/>
            </a:rPr>
            <a:pPr algn="ctr"/>
            <a:t>Japan</a:t>
          </a:fld>
          <a:endParaRPr lang="en-IN" sz="10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22</xdr:col>
      <xdr:colOff>125185</xdr:colOff>
      <xdr:row>21</xdr:row>
      <xdr:rowOff>7261</xdr:rowOff>
    </xdr:from>
    <xdr:to>
      <xdr:col>24</xdr:col>
      <xdr:colOff>288471</xdr:colOff>
      <xdr:row>24</xdr:row>
      <xdr:rowOff>34475</xdr:rowOff>
    </xdr:to>
    <xdr:sp macro="" textlink="Sheet1!I22">
      <xdr:nvSpPr>
        <xdr:cNvPr id="57" name="TextBox 56">
          <a:extLst>
            <a:ext uri="{FF2B5EF4-FFF2-40B4-BE49-F238E27FC236}">
              <a16:creationId xmlns:a16="http://schemas.microsoft.com/office/drawing/2014/main" id="{C3A70DC5-F069-43AC-9493-6391D64545A4}"/>
            </a:ext>
          </a:extLst>
        </xdr:cNvPr>
        <xdr:cNvSpPr txBox="1"/>
      </xdr:nvSpPr>
      <xdr:spPr>
        <a:xfrm>
          <a:off x="13536385" y="3874411"/>
          <a:ext cx="1382486" cy="579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50AAAD-319F-4DCB-A267-A1A6D79DA003}" type="TxLink">
            <a:rPr lang="en-US" sz="1200" b="1" i="0" u="none" strike="noStrike">
              <a:solidFill>
                <a:srgbClr val="000000"/>
              </a:solidFill>
              <a:latin typeface="Montserrat"/>
              <a:cs typeface="Calibri"/>
            </a:rPr>
            <a:pPr algn="ctr"/>
            <a:t>34000</a:t>
          </a:fld>
          <a:endParaRPr lang="en-IN" sz="20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132745</xdr:colOff>
      <xdr:row>36</xdr:row>
      <xdr:rowOff>133350</xdr:rowOff>
    </xdr:from>
    <xdr:to>
      <xdr:col>11</xdr:col>
      <xdr:colOff>226508</xdr:colOff>
      <xdr:row>41</xdr:row>
      <xdr:rowOff>173869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52BB681-C877-4505-B833-15EE35A47352}"/>
            </a:ext>
          </a:extLst>
        </xdr:cNvPr>
        <xdr:cNvSpPr/>
      </xdr:nvSpPr>
      <xdr:spPr>
        <a:xfrm>
          <a:off x="2571145" y="6762750"/>
          <a:ext cx="4360963" cy="961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479865</xdr:colOff>
      <xdr:row>36</xdr:row>
      <xdr:rowOff>133350</xdr:rowOff>
    </xdr:from>
    <xdr:to>
      <xdr:col>18</xdr:col>
      <xdr:colOff>573629</xdr:colOff>
      <xdr:row>41</xdr:row>
      <xdr:rowOff>173869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BC1F3538-FA1C-4AB4-AD0D-50914414F885}"/>
            </a:ext>
          </a:extLst>
        </xdr:cNvPr>
        <xdr:cNvSpPr/>
      </xdr:nvSpPr>
      <xdr:spPr>
        <a:xfrm>
          <a:off x="7185465" y="6762750"/>
          <a:ext cx="4360964" cy="961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213153</xdr:colOff>
      <xdr:row>36</xdr:row>
      <xdr:rowOff>133350</xdr:rowOff>
    </xdr:from>
    <xdr:to>
      <xdr:col>26</xdr:col>
      <xdr:colOff>306916</xdr:colOff>
      <xdr:row>41</xdr:row>
      <xdr:rowOff>173869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FA146947-4385-4A5B-B72E-6C5E476E3BD5}"/>
            </a:ext>
          </a:extLst>
        </xdr:cNvPr>
        <xdr:cNvSpPr/>
      </xdr:nvSpPr>
      <xdr:spPr>
        <a:xfrm>
          <a:off x="11795553" y="6762750"/>
          <a:ext cx="4360963" cy="961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19</xdr:col>
      <xdr:colOff>306917</xdr:colOff>
      <xdr:row>38</xdr:row>
      <xdr:rowOff>45568</xdr:rowOff>
    </xdr:from>
    <xdr:to>
      <xdr:col>20</xdr:col>
      <xdr:colOff>89083</xdr:colOff>
      <xdr:row>40</xdr:row>
      <xdr:rowOff>81734</xdr:rowOff>
    </xdr:to>
    <xdr:pic>
      <xdr:nvPicPr>
        <xdr:cNvPr id="61" name="Graphic 60" descr="Downward trend graph">
          <a:extLst>
            <a:ext uri="{FF2B5EF4-FFF2-40B4-BE49-F238E27FC236}">
              <a16:creationId xmlns:a16="http://schemas.microsoft.com/office/drawing/2014/main" id="{55DD6434-120B-430F-B637-9FF015DAB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889317" y="7043268"/>
          <a:ext cx="391766" cy="404466"/>
        </a:xfrm>
        <a:prstGeom prst="rect">
          <a:avLst/>
        </a:prstGeom>
      </xdr:spPr>
    </xdr:pic>
    <xdr:clientData/>
  </xdr:twoCellAnchor>
  <xdr:twoCellAnchor editAs="oneCell">
    <xdr:from>
      <xdr:col>11</xdr:col>
      <xdr:colOff>594500</xdr:colOff>
      <xdr:row>38</xdr:row>
      <xdr:rowOff>45568</xdr:rowOff>
    </xdr:from>
    <xdr:to>
      <xdr:col>12</xdr:col>
      <xdr:colOff>376667</xdr:colOff>
      <xdr:row>40</xdr:row>
      <xdr:rowOff>81734</xdr:rowOff>
    </xdr:to>
    <xdr:pic>
      <xdr:nvPicPr>
        <xdr:cNvPr id="62" name="Graphic 61" descr="Hierarchy">
          <a:extLst>
            <a:ext uri="{FF2B5EF4-FFF2-40B4-BE49-F238E27FC236}">
              <a16:creationId xmlns:a16="http://schemas.microsoft.com/office/drawing/2014/main" id="{C282233D-1229-4BA0-8CB7-6F16E1E61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7300100" y="7043268"/>
          <a:ext cx="391767" cy="404466"/>
        </a:xfrm>
        <a:prstGeom prst="rect">
          <a:avLst/>
        </a:prstGeom>
      </xdr:spPr>
    </xdr:pic>
    <xdr:clientData/>
  </xdr:twoCellAnchor>
  <xdr:twoCellAnchor editAs="oneCell">
    <xdr:from>
      <xdr:col>4</xdr:col>
      <xdr:colOff>236501</xdr:colOff>
      <xdr:row>38</xdr:row>
      <xdr:rowOff>45568</xdr:rowOff>
    </xdr:from>
    <xdr:to>
      <xdr:col>5</xdr:col>
      <xdr:colOff>18667</xdr:colOff>
      <xdr:row>40</xdr:row>
      <xdr:rowOff>81734</xdr:rowOff>
    </xdr:to>
    <xdr:pic>
      <xdr:nvPicPr>
        <xdr:cNvPr id="63" name="Graphic 62" descr="Pie chart">
          <a:extLst>
            <a:ext uri="{FF2B5EF4-FFF2-40B4-BE49-F238E27FC236}">
              <a16:creationId xmlns:a16="http://schemas.microsoft.com/office/drawing/2014/main" id="{B07457A0-0743-4FEA-90C6-42EBA42FD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674901" y="7043268"/>
          <a:ext cx="391766" cy="404466"/>
        </a:xfrm>
        <a:prstGeom prst="rect">
          <a:avLst/>
        </a:prstGeom>
      </xdr:spPr>
    </xdr:pic>
    <xdr:clientData/>
  </xdr:twoCellAnchor>
  <xdr:twoCellAnchor>
    <xdr:from>
      <xdr:col>5</xdr:col>
      <xdr:colOff>148166</xdr:colOff>
      <xdr:row>37</xdr:row>
      <xdr:rowOff>169484</xdr:rowOff>
    </xdr:from>
    <xdr:to>
      <xdr:col>11</xdr:col>
      <xdr:colOff>127000</xdr:colOff>
      <xdr:row>40</xdr:row>
      <xdr:rowOff>137734</xdr:rowOff>
    </xdr:to>
    <xdr:sp macro="" textlink="Sheet1!C34">
      <xdr:nvSpPr>
        <xdr:cNvPr id="64" name="TextBox 63">
          <a:extLst>
            <a:ext uri="{FF2B5EF4-FFF2-40B4-BE49-F238E27FC236}">
              <a16:creationId xmlns:a16="http://schemas.microsoft.com/office/drawing/2014/main" id="{1C058FE6-DD68-4B57-898E-05EDB9690B02}"/>
            </a:ext>
          </a:extLst>
        </xdr:cNvPr>
        <xdr:cNvSpPr txBox="1"/>
      </xdr:nvSpPr>
      <xdr:spPr>
        <a:xfrm>
          <a:off x="3196166" y="6983034"/>
          <a:ext cx="3636434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12</xdr:col>
      <xdr:colOff>501650</xdr:colOff>
      <xdr:row>37</xdr:row>
      <xdr:rowOff>169484</xdr:rowOff>
    </xdr:from>
    <xdr:to>
      <xdr:col>18</xdr:col>
      <xdr:colOff>480484</xdr:colOff>
      <xdr:row>40</xdr:row>
      <xdr:rowOff>137734</xdr:rowOff>
    </xdr:to>
    <xdr:sp macro="" textlink="Sheet1!C34">
      <xdr:nvSpPr>
        <xdr:cNvPr id="65" name="TextBox 64">
          <a:extLst>
            <a:ext uri="{FF2B5EF4-FFF2-40B4-BE49-F238E27FC236}">
              <a16:creationId xmlns:a16="http://schemas.microsoft.com/office/drawing/2014/main" id="{C0F2E501-7AA7-4330-B548-6A9F9AE5B455}"/>
            </a:ext>
          </a:extLst>
        </xdr:cNvPr>
        <xdr:cNvSpPr txBox="1"/>
      </xdr:nvSpPr>
      <xdr:spPr>
        <a:xfrm>
          <a:off x="7816850" y="6983034"/>
          <a:ext cx="3636434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20</xdr:col>
      <xdr:colOff>177800</xdr:colOff>
      <xdr:row>37</xdr:row>
      <xdr:rowOff>169484</xdr:rowOff>
    </xdr:from>
    <xdr:to>
      <xdr:col>26</xdr:col>
      <xdr:colOff>156634</xdr:colOff>
      <xdr:row>40</xdr:row>
      <xdr:rowOff>137734</xdr:rowOff>
    </xdr:to>
    <xdr:sp macro="" textlink="Sheet1!C34">
      <xdr:nvSpPr>
        <xdr:cNvPr id="66" name="TextBox 65">
          <a:extLst>
            <a:ext uri="{FF2B5EF4-FFF2-40B4-BE49-F238E27FC236}">
              <a16:creationId xmlns:a16="http://schemas.microsoft.com/office/drawing/2014/main" id="{9E58969E-76F4-4FBD-8CBE-329DC6ED57FB}"/>
            </a:ext>
          </a:extLst>
        </xdr:cNvPr>
        <xdr:cNvSpPr txBox="1"/>
      </xdr:nvSpPr>
      <xdr:spPr>
        <a:xfrm>
          <a:off x="12369800" y="6983034"/>
          <a:ext cx="3636434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6</xdr:col>
      <xdr:colOff>445787</xdr:colOff>
      <xdr:row>8</xdr:row>
      <xdr:rowOff>152927</xdr:rowOff>
    </xdr:from>
    <xdr:to>
      <xdr:col>7</xdr:col>
      <xdr:colOff>188930</xdr:colOff>
      <xdr:row>9</xdr:row>
      <xdr:rowOff>9010</xdr:rowOff>
    </xdr:to>
    <xdr:sp macro="" textlink="">
      <xdr:nvSpPr>
        <xdr:cNvPr id="67" name="Rectangle: Rounded Corners 66">
          <a:extLst>
            <a:ext uri="{FF2B5EF4-FFF2-40B4-BE49-F238E27FC236}">
              <a16:creationId xmlns:a16="http://schemas.microsoft.com/office/drawing/2014/main" id="{C3E7BC3B-3869-4036-85DD-8A27EDC147A7}"/>
            </a:ext>
          </a:extLst>
        </xdr:cNvPr>
        <xdr:cNvSpPr/>
      </xdr:nvSpPr>
      <xdr:spPr>
        <a:xfrm rot="5400000">
          <a:off x="4259642" y="1469872"/>
          <a:ext cx="40233" cy="352743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428854</xdr:colOff>
      <xdr:row>23</xdr:row>
      <xdr:rowOff>83077</xdr:rowOff>
    </xdr:from>
    <xdr:to>
      <xdr:col>7</xdr:col>
      <xdr:colOff>171997</xdr:colOff>
      <xdr:row>23</xdr:row>
      <xdr:rowOff>119077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8DFCB97A-FC78-4FF8-8A73-4C1547DEC7E6}"/>
            </a:ext>
          </a:extLst>
        </xdr:cNvPr>
        <xdr:cNvSpPr/>
      </xdr:nvSpPr>
      <xdr:spPr>
        <a:xfrm rot="5400000">
          <a:off x="4244826" y="4160155"/>
          <a:ext cx="36000" cy="352743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274338</xdr:colOff>
      <xdr:row>23</xdr:row>
      <xdr:rowOff>87310</xdr:rowOff>
    </xdr:from>
    <xdr:to>
      <xdr:col>14</xdr:col>
      <xdr:colOff>17480</xdr:colOff>
      <xdr:row>23</xdr:row>
      <xdr:rowOff>123310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D31674C9-B159-4998-8436-B3F2D7269931}"/>
            </a:ext>
          </a:extLst>
        </xdr:cNvPr>
        <xdr:cNvSpPr/>
      </xdr:nvSpPr>
      <xdr:spPr>
        <a:xfrm rot="5400000">
          <a:off x="8357509" y="4164389"/>
          <a:ext cx="36000" cy="352742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289155</xdr:colOff>
      <xdr:row>8</xdr:row>
      <xdr:rowOff>152927</xdr:rowOff>
    </xdr:from>
    <xdr:to>
      <xdr:col>14</xdr:col>
      <xdr:colOff>32297</xdr:colOff>
      <xdr:row>9</xdr:row>
      <xdr:rowOff>9010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0C5082AA-48D9-4B3B-9801-043CAA4D2A08}"/>
            </a:ext>
          </a:extLst>
        </xdr:cNvPr>
        <xdr:cNvSpPr/>
      </xdr:nvSpPr>
      <xdr:spPr>
        <a:xfrm rot="5400000">
          <a:off x="8370209" y="1469873"/>
          <a:ext cx="40233" cy="352742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81721</xdr:colOff>
      <xdr:row>8</xdr:row>
      <xdr:rowOff>152927</xdr:rowOff>
    </xdr:from>
    <xdr:to>
      <xdr:col>20</xdr:col>
      <xdr:colOff>438697</xdr:colOff>
      <xdr:row>9</xdr:row>
      <xdr:rowOff>9010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3194F7B4-3734-4DBA-9846-5FF4CDA47619}"/>
            </a:ext>
          </a:extLst>
        </xdr:cNvPr>
        <xdr:cNvSpPr/>
      </xdr:nvSpPr>
      <xdr:spPr>
        <a:xfrm rot="5400000">
          <a:off x="12432092" y="1467756"/>
          <a:ext cx="40233" cy="356976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225608</xdr:colOff>
      <xdr:row>7</xdr:row>
      <xdr:rowOff>158422</xdr:rowOff>
    </xdr:from>
    <xdr:to>
      <xdr:col>12</xdr:col>
      <xdr:colOff>362710</xdr:colOff>
      <xdr:row>30</xdr:row>
      <xdr:rowOff>161494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97B23449-7B0F-406B-A98D-2278D563999C}"/>
            </a:ext>
          </a:extLst>
        </xdr:cNvPr>
        <xdr:cNvSpPr/>
      </xdr:nvSpPr>
      <xdr:spPr>
        <a:xfrm>
          <a:off x="225608" y="1447472"/>
          <a:ext cx="7452302" cy="4238522"/>
        </a:xfrm>
        <a:custGeom>
          <a:avLst/>
          <a:gdLst>
            <a:gd name="connsiteX0" fmla="*/ 10249 w 7430531"/>
            <a:gd name="connsiteY0" fmla="*/ 3842078 h 4175929"/>
            <a:gd name="connsiteX1" fmla="*/ 717821 w 7430531"/>
            <a:gd name="connsiteY1" fmla="*/ 1202292 h 4175929"/>
            <a:gd name="connsiteX2" fmla="*/ 4137749 w 7430531"/>
            <a:gd name="connsiteY2" fmla="*/ 13935 h 4175929"/>
            <a:gd name="connsiteX3" fmla="*/ 7294606 w 7430531"/>
            <a:gd name="connsiteY3" fmla="*/ 1918935 h 4175929"/>
            <a:gd name="connsiteX4" fmla="*/ 6260463 w 7430531"/>
            <a:gd name="connsiteY4" fmla="*/ 3524578 h 4175929"/>
            <a:gd name="connsiteX5" fmla="*/ 971821 w 7430531"/>
            <a:gd name="connsiteY5" fmla="*/ 4105149 h 4175929"/>
            <a:gd name="connsiteX6" fmla="*/ 10249 w 7430531"/>
            <a:gd name="connsiteY6" fmla="*/ 3842078 h 4175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7430531" h="4175929">
              <a:moveTo>
                <a:pt x="10249" y="3842078"/>
              </a:moveTo>
              <a:cubicBezTo>
                <a:pt x="-32084" y="3358268"/>
                <a:pt x="29904" y="1840316"/>
                <a:pt x="717821" y="1202292"/>
              </a:cubicBezTo>
              <a:cubicBezTo>
                <a:pt x="1405738" y="564268"/>
                <a:pt x="3041618" y="-105506"/>
                <a:pt x="4137749" y="13935"/>
              </a:cubicBezTo>
              <a:cubicBezTo>
                <a:pt x="5233880" y="133375"/>
                <a:pt x="6940820" y="1333828"/>
                <a:pt x="7294606" y="1918935"/>
              </a:cubicBezTo>
              <a:cubicBezTo>
                <a:pt x="7648392" y="2504042"/>
                <a:pt x="7314261" y="3160209"/>
                <a:pt x="6260463" y="3524578"/>
              </a:cubicBezTo>
              <a:cubicBezTo>
                <a:pt x="5206666" y="3888947"/>
                <a:pt x="2008988" y="4053744"/>
                <a:pt x="971821" y="4105149"/>
              </a:cubicBezTo>
              <a:cubicBezTo>
                <a:pt x="-65346" y="4156554"/>
                <a:pt x="52582" y="4325888"/>
                <a:pt x="10249" y="3842078"/>
              </a:cubicBezTo>
              <a:close/>
            </a:path>
          </a:pathLst>
        </a:custGeom>
        <a:solidFill>
          <a:srgbClr val="9966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171743</xdr:colOff>
      <xdr:row>9</xdr:row>
      <xdr:rowOff>10798</xdr:rowOff>
    </xdr:from>
    <xdr:to>
      <xdr:col>31</xdr:col>
      <xdr:colOff>366281</xdr:colOff>
      <xdr:row>46</xdr:row>
      <xdr:rowOff>40240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C461B308-F428-49FF-835F-987875AD5529}"/>
            </a:ext>
          </a:extLst>
        </xdr:cNvPr>
        <xdr:cNvSpPr/>
      </xdr:nvSpPr>
      <xdr:spPr>
        <a:xfrm rot="9557275">
          <a:off x="8706143" y="1668148"/>
          <a:ext cx="10557738" cy="6842992"/>
        </a:xfrm>
        <a:custGeom>
          <a:avLst/>
          <a:gdLst>
            <a:gd name="connsiteX0" fmla="*/ 10249 w 7430531"/>
            <a:gd name="connsiteY0" fmla="*/ 3842078 h 4175929"/>
            <a:gd name="connsiteX1" fmla="*/ 717821 w 7430531"/>
            <a:gd name="connsiteY1" fmla="*/ 1202292 h 4175929"/>
            <a:gd name="connsiteX2" fmla="*/ 4137749 w 7430531"/>
            <a:gd name="connsiteY2" fmla="*/ 13935 h 4175929"/>
            <a:gd name="connsiteX3" fmla="*/ 7294606 w 7430531"/>
            <a:gd name="connsiteY3" fmla="*/ 1918935 h 4175929"/>
            <a:gd name="connsiteX4" fmla="*/ 6260463 w 7430531"/>
            <a:gd name="connsiteY4" fmla="*/ 3524578 h 4175929"/>
            <a:gd name="connsiteX5" fmla="*/ 971821 w 7430531"/>
            <a:gd name="connsiteY5" fmla="*/ 4105149 h 4175929"/>
            <a:gd name="connsiteX6" fmla="*/ 10249 w 7430531"/>
            <a:gd name="connsiteY6" fmla="*/ 3842078 h 41759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7430531" h="4175929">
              <a:moveTo>
                <a:pt x="10249" y="3842078"/>
              </a:moveTo>
              <a:cubicBezTo>
                <a:pt x="-32084" y="3358268"/>
                <a:pt x="29904" y="1840316"/>
                <a:pt x="717821" y="1202292"/>
              </a:cubicBezTo>
              <a:cubicBezTo>
                <a:pt x="1405738" y="564268"/>
                <a:pt x="3041618" y="-105506"/>
                <a:pt x="4137749" y="13935"/>
              </a:cubicBezTo>
              <a:cubicBezTo>
                <a:pt x="5233880" y="133375"/>
                <a:pt x="6940820" y="1333828"/>
                <a:pt x="7294606" y="1918935"/>
              </a:cubicBezTo>
              <a:cubicBezTo>
                <a:pt x="7648392" y="2504042"/>
                <a:pt x="7314261" y="3160209"/>
                <a:pt x="6260463" y="3524578"/>
              </a:cubicBezTo>
              <a:cubicBezTo>
                <a:pt x="5206666" y="3888947"/>
                <a:pt x="2008988" y="4053744"/>
                <a:pt x="971821" y="4105149"/>
              </a:cubicBezTo>
              <a:cubicBezTo>
                <a:pt x="-65346" y="4156554"/>
                <a:pt x="52582" y="4325888"/>
                <a:pt x="10249" y="3842078"/>
              </a:cubicBezTo>
              <a:close/>
            </a:path>
          </a:pathLst>
        </a:cu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254000</xdr:colOff>
      <xdr:row>2</xdr:row>
      <xdr:rowOff>136070</xdr:rowOff>
    </xdr:from>
    <xdr:to>
      <xdr:col>27</xdr:col>
      <xdr:colOff>181428</xdr:colOff>
      <xdr:row>43</xdr:row>
      <xdr:rowOff>95249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943BA2B-D3B9-46D7-810E-08BA16E27E42}"/>
            </a:ext>
          </a:extLst>
        </xdr:cNvPr>
        <xdr:cNvSpPr/>
      </xdr:nvSpPr>
      <xdr:spPr>
        <a:xfrm>
          <a:off x="1473200" y="504370"/>
          <a:ext cx="15167428" cy="750932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255815</xdr:colOff>
      <xdr:row>5</xdr:row>
      <xdr:rowOff>157539</xdr:rowOff>
    </xdr:from>
    <xdr:to>
      <xdr:col>27</xdr:col>
      <xdr:colOff>181428</xdr:colOff>
      <xdr:row>43</xdr:row>
      <xdr:rowOff>95249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BB15852-4BDA-438F-8BD3-128035C44ABB}"/>
            </a:ext>
          </a:extLst>
        </xdr:cNvPr>
        <xdr:cNvSpPr/>
      </xdr:nvSpPr>
      <xdr:spPr>
        <a:xfrm>
          <a:off x="2084615" y="1078289"/>
          <a:ext cx="14556013" cy="693541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381000</xdr:colOff>
      <xdr:row>21</xdr:row>
      <xdr:rowOff>68030</xdr:rowOff>
    </xdr:from>
    <xdr:to>
      <xdr:col>3</xdr:col>
      <xdr:colOff>117930</xdr:colOff>
      <xdr:row>23</xdr:row>
      <xdr:rowOff>49889</xdr:rowOff>
    </xdr:to>
    <xdr:sp macro="" textlink="">
      <xdr:nvSpPr>
        <xdr:cNvPr id="6" name="Teardrop 5">
          <a:extLst>
            <a:ext uri="{FF2B5EF4-FFF2-40B4-BE49-F238E27FC236}">
              <a16:creationId xmlns:a16="http://schemas.microsoft.com/office/drawing/2014/main" id="{78208DA9-3E22-43F0-A41C-F2D8B3FCFA45}"/>
            </a:ext>
          </a:extLst>
        </xdr:cNvPr>
        <xdr:cNvSpPr/>
      </xdr:nvSpPr>
      <xdr:spPr>
        <a:xfrm>
          <a:off x="1608667" y="3846280"/>
          <a:ext cx="350763" cy="341692"/>
        </a:xfrm>
        <a:prstGeom prst="teardrop">
          <a:avLst/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417928</xdr:colOff>
      <xdr:row>12</xdr:row>
      <xdr:rowOff>72572</xdr:rowOff>
    </xdr:from>
    <xdr:to>
      <xdr:col>3</xdr:col>
      <xdr:colOff>94034</xdr:colOff>
      <xdr:row>13</xdr:row>
      <xdr:rowOff>174101</xdr:rowOff>
    </xdr:to>
    <xdr:pic>
      <xdr:nvPicPr>
        <xdr:cNvPr id="8" name="Graphic 7" descr="Address 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D58105-F832-4B5A-9572-F96A9995E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45595" y="2231572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14</xdr:row>
      <xdr:rowOff>120737</xdr:rowOff>
    </xdr:from>
    <xdr:to>
      <xdr:col>3</xdr:col>
      <xdr:colOff>94034</xdr:colOff>
      <xdr:row>16</xdr:row>
      <xdr:rowOff>42349</xdr:rowOff>
    </xdr:to>
    <xdr:pic>
      <xdr:nvPicPr>
        <xdr:cNvPr id="9" name="Graphic 8" descr="Ato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EB179E-D829-4779-8319-2D75129C7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645595" y="2639570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16</xdr:row>
      <xdr:rowOff>168902</xdr:rowOff>
    </xdr:from>
    <xdr:to>
      <xdr:col>3</xdr:col>
      <xdr:colOff>94034</xdr:colOff>
      <xdr:row>18</xdr:row>
      <xdr:rowOff>90515</xdr:rowOff>
    </xdr:to>
    <xdr:pic>
      <xdr:nvPicPr>
        <xdr:cNvPr id="10" name="Graphic 9" descr="Bank check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8F7B122-959B-43FA-94DA-53275C873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5595" y="3047569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19</xdr:row>
      <xdr:rowOff>37150</xdr:rowOff>
    </xdr:from>
    <xdr:to>
      <xdr:col>3</xdr:col>
      <xdr:colOff>94034</xdr:colOff>
      <xdr:row>20</xdr:row>
      <xdr:rowOff>138680</xdr:rowOff>
    </xdr:to>
    <xdr:pic>
      <xdr:nvPicPr>
        <xdr:cNvPr id="11" name="Graphic 10" descr="Beetl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3D723C2-882B-4AF8-BF63-587FDB78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645595" y="3455567"/>
          <a:ext cx="289939" cy="281446"/>
        </a:xfrm>
        <a:prstGeom prst="rect">
          <a:avLst/>
        </a:prstGeom>
      </xdr:spPr>
    </xdr:pic>
    <xdr:clientData/>
  </xdr:twoCellAnchor>
  <xdr:twoCellAnchor>
    <xdr:from>
      <xdr:col>2</xdr:col>
      <xdr:colOff>417928</xdr:colOff>
      <xdr:row>21</xdr:row>
      <xdr:rowOff>85315</xdr:rowOff>
    </xdr:from>
    <xdr:to>
      <xdr:col>3</xdr:col>
      <xdr:colOff>94034</xdr:colOff>
      <xdr:row>23</xdr:row>
      <xdr:rowOff>6928</xdr:rowOff>
    </xdr:to>
    <xdr:pic>
      <xdr:nvPicPr>
        <xdr:cNvPr id="12" name="Graphic 11" descr="Bells">
          <a:extLst>
            <a:ext uri="{FF2B5EF4-FFF2-40B4-BE49-F238E27FC236}">
              <a16:creationId xmlns:a16="http://schemas.microsoft.com/office/drawing/2014/main" id="{343A3F0D-5202-44BB-8264-AAC2FE886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645595" y="3863565"/>
          <a:ext cx="289939" cy="281446"/>
        </a:xfrm>
        <a:prstGeom prst="rect">
          <a:avLst/>
        </a:prstGeom>
      </xdr:spPr>
    </xdr:pic>
    <xdr:clientData/>
  </xdr:twoCellAnchor>
  <xdr:twoCellAnchor>
    <xdr:from>
      <xdr:col>23</xdr:col>
      <xdr:colOff>417286</xdr:colOff>
      <xdr:row>3</xdr:row>
      <xdr:rowOff>63498</xdr:rowOff>
    </xdr:from>
    <xdr:to>
      <xdr:col>26</xdr:col>
      <xdr:colOff>444500</xdr:colOff>
      <xdr:row>5</xdr:row>
      <xdr:rowOff>45356</xdr:rowOff>
    </xdr:to>
    <xdr:sp macro="" textlink="Sheet1!B3">
      <xdr:nvSpPr>
        <xdr:cNvPr id="13" name="Rectangle: Rounded Corners 12">
          <a:extLst>
            <a:ext uri="{FF2B5EF4-FFF2-40B4-BE49-F238E27FC236}">
              <a16:creationId xmlns:a16="http://schemas.microsoft.com/office/drawing/2014/main" id="{566FEC1F-5A7B-4C2E-8C0C-C891CE3BA315}"/>
            </a:ext>
          </a:extLst>
        </xdr:cNvPr>
        <xdr:cNvSpPr/>
      </xdr:nvSpPr>
      <xdr:spPr>
        <a:xfrm>
          <a:off x="14438086" y="615948"/>
          <a:ext cx="1856014" cy="350158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9966FF"/>
            </a:gs>
            <a:gs pos="100000">
              <a:srgbClr val="390058"/>
            </a:gs>
            <a:gs pos="44000">
              <a:srgbClr val="390058"/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0FAEF080-0D45-4A20-BAAD-775542B29B10}" type="TxLink">
            <a:rPr lang="en-US" sz="900" b="0" i="0" u="none" strike="noStrike">
              <a:solidFill>
                <a:schemeClr val="bg1"/>
              </a:solidFill>
              <a:latin typeface="Montserrat"/>
              <a:ea typeface="+mn-ea"/>
              <a:cs typeface="+mn-cs"/>
            </a:rPr>
            <a:pPr marL="0" indent="0" algn="ctr"/>
            <a:t>Quarterly Report</a:t>
          </a:fld>
          <a:endParaRPr lang="en-IN" sz="1000" b="0" i="0" u="none" strike="noStrike">
            <a:solidFill>
              <a:schemeClr val="bg1"/>
            </a:solidFill>
            <a:latin typeface="Montserra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252186</xdr:colOff>
      <xdr:row>3</xdr:row>
      <xdr:rowOff>63498</xdr:rowOff>
    </xdr:from>
    <xdr:to>
      <xdr:col>23</xdr:col>
      <xdr:colOff>279401</xdr:colOff>
      <xdr:row>5</xdr:row>
      <xdr:rowOff>45356</xdr:rowOff>
    </xdr:to>
    <xdr:sp macro="" textlink="Sheet1!B2">
      <xdr:nvSpPr>
        <xdr:cNvPr id="14" name="Rectangle: Rounded Corners 13">
          <a:extLst>
            <a:ext uri="{FF2B5EF4-FFF2-40B4-BE49-F238E27FC236}">
              <a16:creationId xmlns:a16="http://schemas.microsoft.com/office/drawing/2014/main" id="{DFFBE0CF-ABBD-4F6F-98F6-BB9A397FDC17}"/>
            </a:ext>
          </a:extLst>
        </xdr:cNvPr>
        <xdr:cNvSpPr/>
      </xdr:nvSpPr>
      <xdr:spPr>
        <a:xfrm>
          <a:off x="12444186" y="615948"/>
          <a:ext cx="1856015" cy="350158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9966FF"/>
            </a:gs>
            <a:gs pos="100000">
              <a:srgbClr val="390058"/>
            </a:gs>
            <a:gs pos="44000">
              <a:srgbClr val="390058"/>
            </a:gs>
          </a:gsLst>
          <a:lin ang="27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A6DA619-8CDB-4AB8-9268-8BD4C18C5D2F}" type="TxLink">
            <a:rPr lang="en-US" sz="900" b="0" i="0" u="none" strike="noStrike">
              <a:solidFill>
                <a:schemeClr val="bg1"/>
              </a:solidFill>
              <a:latin typeface="Montserrat"/>
              <a:ea typeface="+mn-ea"/>
              <a:cs typeface="+mn-cs"/>
            </a:rPr>
            <a:pPr marL="0" indent="0" algn="ctr"/>
            <a:t>1st Jun - 15th Sep</a:t>
          </a:fld>
          <a:endParaRPr lang="en-IN" sz="12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281214</xdr:colOff>
      <xdr:row>3</xdr:row>
      <xdr:rowOff>72571</xdr:rowOff>
    </xdr:from>
    <xdr:to>
      <xdr:col>11</xdr:col>
      <xdr:colOff>36286</xdr:colOff>
      <xdr:row>5</xdr:row>
      <xdr:rowOff>36286</xdr:rowOff>
    </xdr:to>
    <xdr:sp macro="" textlink="Sheet1!B1">
      <xdr:nvSpPr>
        <xdr:cNvPr id="15" name="TextBox 14">
          <a:extLst>
            <a:ext uri="{FF2B5EF4-FFF2-40B4-BE49-F238E27FC236}">
              <a16:creationId xmlns:a16="http://schemas.microsoft.com/office/drawing/2014/main" id="{D3F5E713-E015-49AF-BDCE-1C7F6C90D7CE}"/>
            </a:ext>
          </a:extLst>
        </xdr:cNvPr>
        <xdr:cNvSpPr txBox="1"/>
      </xdr:nvSpPr>
      <xdr:spPr>
        <a:xfrm>
          <a:off x="2110014" y="625021"/>
          <a:ext cx="4631872" cy="332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D76DF08B-6F96-4F8A-8194-AB7B8DB72D55}" type="TxLink">
            <a:rPr lang="en-US" sz="1100" b="0" i="0" u="none" strike="noStrike">
              <a:solidFill>
                <a:srgbClr val="390058"/>
              </a:solidFill>
              <a:latin typeface="Montserrat Medium" panose="00000600000000000000" pitchFamily="2" charset="0"/>
              <a:cs typeface="Calibri"/>
            </a:rPr>
            <a:pPr algn="l"/>
            <a:t>Performance Analytics Dashboard</a:t>
          </a:fld>
          <a:endParaRPr lang="en-IN" sz="1200" b="0" i="0" u="none" strike="noStrike">
            <a:solidFill>
              <a:srgbClr val="390058"/>
            </a:solidFill>
            <a:latin typeface="Montserrat Medium" panose="00000600000000000000" pitchFamily="2" charset="0"/>
            <a:cs typeface="Calibri"/>
          </a:endParaRPr>
        </a:p>
      </xdr:txBody>
    </xdr:sp>
    <xdr:clientData/>
  </xdr:twoCellAnchor>
  <xdr:twoCellAnchor>
    <xdr:from>
      <xdr:col>2</xdr:col>
      <xdr:colOff>351973</xdr:colOff>
      <xdr:row>3</xdr:row>
      <xdr:rowOff>18142</xdr:rowOff>
    </xdr:from>
    <xdr:to>
      <xdr:col>3</xdr:col>
      <xdr:colOff>217275</xdr:colOff>
      <xdr:row>5</xdr:row>
      <xdr:rowOff>163288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4CC5FFEB-1ADE-405C-9FE5-ABBB4843A046}"/>
            </a:ext>
          </a:extLst>
        </xdr:cNvPr>
        <xdr:cNvGrpSpPr/>
      </xdr:nvGrpSpPr>
      <xdr:grpSpPr>
        <a:xfrm>
          <a:off x="1545773" y="551542"/>
          <a:ext cx="462202" cy="500746"/>
          <a:chOff x="1721757" y="751115"/>
          <a:chExt cx="491673" cy="527960"/>
        </a:xfrm>
      </xdr:grpSpPr>
      <xdr:sp macro="" textlink="">
        <xdr:nvSpPr>
          <xdr:cNvPr id="17" name="Teardrop 16">
            <a:extLst>
              <a:ext uri="{FF2B5EF4-FFF2-40B4-BE49-F238E27FC236}">
                <a16:creationId xmlns:a16="http://schemas.microsoft.com/office/drawing/2014/main" id="{E0F3EA1E-C63A-4234-9E2C-45E4F5721306}"/>
              </a:ext>
            </a:extLst>
          </xdr:cNvPr>
          <xdr:cNvSpPr/>
        </xdr:nvSpPr>
        <xdr:spPr>
          <a:xfrm>
            <a:off x="1721757" y="751115"/>
            <a:ext cx="453571" cy="453571"/>
          </a:xfrm>
          <a:prstGeom prst="teardrop">
            <a:avLst/>
          </a:prstGeom>
          <a:solidFill>
            <a:srgbClr val="9966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8" name="Teardrop 17">
            <a:extLst>
              <a:ext uri="{FF2B5EF4-FFF2-40B4-BE49-F238E27FC236}">
                <a16:creationId xmlns:a16="http://schemas.microsoft.com/office/drawing/2014/main" id="{9933620C-A742-4D1A-A0E1-0A0391DFFC64}"/>
              </a:ext>
            </a:extLst>
          </xdr:cNvPr>
          <xdr:cNvSpPr/>
        </xdr:nvSpPr>
        <xdr:spPr>
          <a:xfrm>
            <a:off x="1759859" y="825504"/>
            <a:ext cx="453571" cy="453571"/>
          </a:xfrm>
          <a:prstGeom prst="teardrop">
            <a:avLst/>
          </a:prstGeom>
          <a:gradFill flip="none" rotWithShape="1">
            <a:gsLst>
              <a:gs pos="0">
                <a:srgbClr val="9966FF"/>
              </a:gs>
              <a:gs pos="100000">
                <a:srgbClr val="390058"/>
              </a:gs>
              <a:gs pos="44000">
                <a:srgbClr val="390058"/>
              </a:gs>
            </a:gsLst>
            <a:lin ang="2700000" scaled="1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3</xdr:col>
      <xdr:colOff>317501</xdr:colOff>
      <xdr:row>21</xdr:row>
      <xdr:rowOff>58959</xdr:rowOff>
    </xdr:from>
    <xdr:to>
      <xdr:col>3</xdr:col>
      <xdr:colOff>353501</xdr:colOff>
      <xdr:row>23</xdr:row>
      <xdr:rowOff>56102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4954F7E6-5499-4023-8AA0-0073C8AB3F8D}"/>
            </a:ext>
          </a:extLst>
        </xdr:cNvPr>
        <xdr:cNvSpPr/>
      </xdr:nvSpPr>
      <xdr:spPr>
        <a:xfrm>
          <a:off x="2159001" y="3837209"/>
          <a:ext cx="36000" cy="356976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117929</xdr:colOff>
      <xdr:row>7</xdr:row>
      <xdr:rowOff>18142</xdr:rowOff>
    </xdr:from>
    <xdr:to>
      <xdr:col>6</xdr:col>
      <xdr:colOff>54430</xdr:colOff>
      <xdr:row>35</xdr:row>
      <xdr:rowOff>54428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D84A3F3-0EE9-4738-8786-88E2F591BC7B}"/>
            </a:ext>
          </a:extLst>
        </xdr:cNvPr>
        <xdr:cNvSpPr/>
      </xdr:nvSpPr>
      <xdr:spPr>
        <a:xfrm>
          <a:off x="2556329" y="1307192"/>
          <a:ext cx="1155701" cy="519248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254902</xdr:colOff>
      <xdr:row>8</xdr:row>
      <xdr:rowOff>119743</xdr:rowOff>
    </xdr:from>
    <xdr:to>
      <xdr:col>5</xdr:col>
      <xdr:colOff>544397</xdr:colOff>
      <xdr:row>9</xdr:row>
      <xdr:rowOff>147390</xdr:rowOff>
    </xdr:to>
    <xdr:sp macro="" textlink="Sheet1!C21">
      <xdr:nvSpPr>
        <xdr:cNvPr id="21" name="TextBox 20">
          <a:extLst>
            <a:ext uri="{FF2B5EF4-FFF2-40B4-BE49-F238E27FC236}">
              <a16:creationId xmlns:a16="http://schemas.microsoft.com/office/drawing/2014/main" id="{F8F7F308-1301-4F11-97D1-48F42C561A43}"/>
            </a:ext>
          </a:extLst>
        </xdr:cNvPr>
        <xdr:cNvSpPr txBox="1"/>
      </xdr:nvSpPr>
      <xdr:spPr>
        <a:xfrm>
          <a:off x="2693302" y="1592943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45427325-9F4F-45FF-A346-255B4FCE87D4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Visits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9</xdr:row>
      <xdr:rowOff>88470</xdr:rowOff>
    </xdr:from>
    <xdr:to>
      <xdr:col>5</xdr:col>
      <xdr:colOff>541678</xdr:colOff>
      <xdr:row>10</xdr:row>
      <xdr:rowOff>116116</xdr:rowOff>
    </xdr:to>
    <xdr:sp macro="" textlink="Sheet1!D21">
      <xdr:nvSpPr>
        <xdr:cNvPr id="22" name="TextBox 21">
          <a:extLst>
            <a:ext uri="{FF2B5EF4-FFF2-40B4-BE49-F238E27FC236}">
              <a16:creationId xmlns:a16="http://schemas.microsoft.com/office/drawing/2014/main" id="{B0A5051E-B79E-4AD2-88A6-66325DDE17A3}"/>
            </a:ext>
          </a:extLst>
        </xdr:cNvPr>
        <xdr:cNvSpPr txBox="1"/>
      </xdr:nvSpPr>
      <xdr:spPr>
        <a:xfrm>
          <a:off x="2690583" y="1745820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7AF8DCC1-F749-46B2-8E23-83D708A61C32}" type="TxLink">
            <a:rPr lang="en-US" sz="1000" b="1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65 800</a:t>
          </a:fld>
          <a:endParaRPr lang="en-IN" sz="105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11</xdr:row>
      <xdr:rowOff>35077</xdr:rowOff>
    </xdr:from>
    <xdr:to>
      <xdr:col>5</xdr:col>
      <xdr:colOff>544397</xdr:colOff>
      <xdr:row>12</xdr:row>
      <xdr:rowOff>62723</xdr:rowOff>
    </xdr:to>
    <xdr:sp macro="" textlink="Sheet1!C22">
      <xdr:nvSpPr>
        <xdr:cNvPr id="23" name="TextBox 22">
          <a:extLst>
            <a:ext uri="{FF2B5EF4-FFF2-40B4-BE49-F238E27FC236}">
              <a16:creationId xmlns:a16="http://schemas.microsoft.com/office/drawing/2014/main" id="{9E87F378-87DD-433B-B5BB-448BE1FCD2B5}"/>
            </a:ext>
          </a:extLst>
        </xdr:cNvPr>
        <xdr:cNvSpPr txBox="1"/>
      </xdr:nvSpPr>
      <xdr:spPr>
        <a:xfrm>
          <a:off x="2693302" y="2060727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DB4994B-D64B-449B-9D2E-5C7C5D5E27F6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Page Views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12</xdr:row>
      <xdr:rowOff>3803</xdr:rowOff>
    </xdr:from>
    <xdr:to>
      <xdr:col>5</xdr:col>
      <xdr:colOff>541678</xdr:colOff>
      <xdr:row>13</xdr:row>
      <xdr:rowOff>31450</xdr:rowOff>
    </xdr:to>
    <xdr:sp macro="" textlink="Sheet1!D22">
      <xdr:nvSpPr>
        <xdr:cNvPr id="24" name="TextBox 23">
          <a:extLst>
            <a:ext uri="{FF2B5EF4-FFF2-40B4-BE49-F238E27FC236}">
              <a16:creationId xmlns:a16="http://schemas.microsoft.com/office/drawing/2014/main" id="{FC2D1428-0EF9-4BA1-8569-06424FE8747A}"/>
            </a:ext>
          </a:extLst>
        </xdr:cNvPr>
        <xdr:cNvSpPr txBox="1"/>
      </xdr:nvSpPr>
      <xdr:spPr>
        <a:xfrm>
          <a:off x="2690583" y="2213603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FB362E6-7109-4C94-BFB3-6CDE56B12D02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100 480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13</xdr:row>
      <xdr:rowOff>131839</xdr:rowOff>
    </xdr:from>
    <xdr:to>
      <xdr:col>5</xdr:col>
      <xdr:colOff>544397</xdr:colOff>
      <xdr:row>14</xdr:row>
      <xdr:rowOff>159485</xdr:rowOff>
    </xdr:to>
    <xdr:sp macro="" textlink="Sheet1!C23">
      <xdr:nvSpPr>
        <xdr:cNvPr id="25" name="TextBox 24">
          <a:extLst>
            <a:ext uri="{FF2B5EF4-FFF2-40B4-BE49-F238E27FC236}">
              <a16:creationId xmlns:a16="http://schemas.microsoft.com/office/drawing/2014/main" id="{01624233-B3AE-4AB3-8D06-DA4BF59DA003}"/>
            </a:ext>
          </a:extLst>
        </xdr:cNvPr>
        <xdr:cNvSpPr txBox="1"/>
      </xdr:nvSpPr>
      <xdr:spPr>
        <a:xfrm>
          <a:off x="2693302" y="2525789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4F4D1ECD-53BF-4EA3-AC1D-8A83292BD409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Bounce Rate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14</xdr:row>
      <xdr:rowOff>100565</xdr:rowOff>
    </xdr:from>
    <xdr:to>
      <xdr:col>5</xdr:col>
      <xdr:colOff>541678</xdr:colOff>
      <xdr:row>15</xdr:row>
      <xdr:rowOff>128211</xdr:rowOff>
    </xdr:to>
    <xdr:sp macro="" textlink="Sheet1!D23">
      <xdr:nvSpPr>
        <xdr:cNvPr id="26" name="TextBox 25">
          <a:extLst>
            <a:ext uri="{FF2B5EF4-FFF2-40B4-BE49-F238E27FC236}">
              <a16:creationId xmlns:a16="http://schemas.microsoft.com/office/drawing/2014/main" id="{C36C48DF-6664-48E0-B92B-74875A0DB64C}"/>
            </a:ext>
          </a:extLst>
        </xdr:cNvPr>
        <xdr:cNvSpPr txBox="1"/>
      </xdr:nvSpPr>
      <xdr:spPr>
        <a:xfrm>
          <a:off x="2690583" y="2678665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A9D1424-E58E-4A1D-AAF0-D58EECBFB925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45%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16</xdr:row>
      <xdr:rowOff>47172</xdr:rowOff>
    </xdr:from>
    <xdr:to>
      <xdr:col>5</xdr:col>
      <xdr:colOff>544397</xdr:colOff>
      <xdr:row>17</xdr:row>
      <xdr:rowOff>74818</xdr:rowOff>
    </xdr:to>
    <xdr:sp macro="" textlink="Sheet1!C24">
      <xdr:nvSpPr>
        <xdr:cNvPr id="27" name="TextBox 26">
          <a:extLst>
            <a:ext uri="{FF2B5EF4-FFF2-40B4-BE49-F238E27FC236}">
              <a16:creationId xmlns:a16="http://schemas.microsoft.com/office/drawing/2014/main" id="{5E018CAD-3535-4EEC-90E8-0E3607339BB7}"/>
            </a:ext>
          </a:extLst>
        </xdr:cNvPr>
        <xdr:cNvSpPr txBox="1"/>
      </xdr:nvSpPr>
      <xdr:spPr>
        <a:xfrm>
          <a:off x="2693302" y="2993572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7113FD0-93D4-44F4-80F3-773230FC75F1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Exit Rate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17</xdr:row>
      <xdr:rowOff>15898</xdr:rowOff>
    </xdr:from>
    <xdr:to>
      <xdr:col>5</xdr:col>
      <xdr:colOff>541678</xdr:colOff>
      <xdr:row>18</xdr:row>
      <xdr:rowOff>43545</xdr:rowOff>
    </xdr:to>
    <xdr:sp macro="" textlink="Sheet1!D24">
      <xdr:nvSpPr>
        <xdr:cNvPr id="28" name="TextBox 27">
          <a:extLst>
            <a:ext uri="{FF2B5EF4-FFF2-40B4-BE49-F238E27FC236}">
              <a16:creationId xmlns:a16="http://schemas.microsoft.com/office/drawing/2014/main" id="{08DA345D-BB0E-4EAF-8C41-52C2103051A2}"/>
            </a:ext>
          </a:extLst>
        </xdr:cNvPr>
        <xdr:cNvSpPr txBox="1"/>
      </xdr:nvSpPr>
      <xdr:spPr>
        <a:xfrm>
          <a:off x="2690583" y="3146448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8BB8D4B-0E4E-487D-8578-74D47CC46EC7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44%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18</xdr:row>
      <xdr:rowOff>143934</xdr:rowOff>
    </xdr:from>
    <xdr:to>
      <xdr:col>5</xdr:col>
      <xdr:colOff>544397</xdr:colOff>
      <xdr:row>19</xdr:row>
      <xdr:rowOff>171580</xdr:rowOff>
    </xdr:to>
    <xdr:sp macro="" textlink="Sheet1!C25">
      <xdr:nvSpPr>
        <xdr:cNvPr id="29" name="TextBox 28">
          <a:extLst>
            <a:ext uri="{FF2B5EF4-FFF2-40B4-BE49-F238E27FC236}">
              <a16:creationId xmlns:a16="http://schemas.microsoft.com/office/drawing/2014/main" id="{365C60F0-8139-481F-AD93-16F5B1B28093}"/>
            </a:ext>
          </a:extLst>
        </xdr:cNvPr>
        <xdr:cNvSpPr txBox="1"/>
      </xdr:nvSpPr>
      <xdr:spPr>
        <a:xfrm>
          <a:off x="2693302" y="3458634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7AC2CE0-E7A9-4E65-9596-973F56CBADF8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Organic Traffic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19</xdr:row>
      <xdr:rowOff>112660</xdr:rowOff>
    </xdr:from>
    <xdr:to>
      <xdr:col>5</xdr:col>
      <xdr:colOff>541678</xdr:colOff>
      <xdr:row>20</xdr:row>
      <xdr:rowOff>140307</xdr:rowOff>
    </xdr:to>
    <xdr:sp macro="" textlink="Sheet1!D25">
      <xdr:nvSpPr>
        <xdr:cNvPr id="30" name="TextBox 29">
          <a:extLst>
            <a:ext uri="{FF2B5EF4-FFF2-40B4-BE49-F238E27FC236}">
              <a16:creationId xmlns:a16="http://schemas.microsoft.com/office/drawing/2014/main" id="{B4FCC6EC-3B7E-4EFA-B924-0DADD5E3D19D}"/>
            </a:ext>
          </a:extLst>
        </xdr:cNvPr>
        <xdr:cNvSpPr txBox="1"/>
      </xdr:nvSpPr>
      <xdr:spPr>
        <a:xfrm>
          <a:off x="2690583" y="3611510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5BDF479-2A39-4329-9821-6DAC5E8F9761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31 300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21</xdr:row>
      <xdr:rowOff>59267</xdr:rowOff>
    </xdr:from>
    <xdr:to>
      <xdr:col>5</xdr:col>
      <xdr:colOff>544397</xdr:colOff>
      <xdr:row>22</xdr:row>
      <xdr:rowOff>86913</xdr:rowOff>
    </xdr:to>
    <xdr:sp macro="" textlink="Sheet1!C26">
      <xdr:nvSpPr>
        <xdr:cNvPr id="31" name="TextBox 30">
          <a:extLst>
            <a:ext uri="{FF2B5EF4-FFF2-40B4-BE49-F238E27FC236}">
              <a16:creationId xmlns:a16="http://schemas.microsoft.com/office/drawing/2014/main" id="{D7B3F085-9438-4D9D-ACE4-623721440E1B}"/>
            </a:ext>
          </a:extLst>
        </xdr:cNvPr>
        <xdr:cNvSpPr txBox="1"/>
      </xdr:nvSpPr>
      <xdr:spPr>
        <a:xfrm>
          <a:off x="2693302" y="3926417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DCAAB2E-1386-46B0-AAF8-FC8E60648403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Paid Traffic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22</xdr:row>
      <xdr:rowOff>27993</xdr:rowOff>
    </xdr:from>
    <xdr:to>
      <xdr:col>5</xdr:col>
      <xdr:colOff>541678</xdr:colOff>
      <xdr:row>23</xdr:row>
      <xdr:rowOff>55640</xdr:rowOff>
    </xdr:to>
    <xdr:sp macro="" textlink="Sheet1!D26">
      <xdr:nvSpPr>
        <xdr:cNvPr id="32" name="TextBox 31">
          <a:extLst>
            <a:ext uri="{FF2B5EF4-FFF2-40B4-BE49-F238E27FC236}">
              <a16:creationId xmlns:a16="http://schemas.microsoft.com/office/drawing/2014/main" id="{963A0AF1-91DB-4856-AA5B-F17ABF520ED4}"/>
            </a:ext>
          </a:extLst>
        </xdr:cNvPr>
        <xdr:cNvSpPr txBox="1"/>
      </xdr:nvSpPr>
      <xdr:spPr>
        <a:xfrm>
          <a:off x="2690583" y="4079293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52BA47A-4C3C-484E-B112-CBCE5E804B53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7 280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23</xdr:row>
      <xdr:rowOff>156029</xdr:rowOff>
    </xdr:from>
    <xdr:to>
      <xdr:col>5</xdr:col>
      <xdr:colOff>544397</xdr:colOff>
      <xdr:row>25</xdr:row>
      <xdr:rowOff>2247</xdr:rowOff>
    </xdr:to>
    <xdr:sp macro="" textlink="Sheet1!C27">
      <xdr:nvSpPr>
        <xdr:cNvPr id="33" name="TextBox 32">
          <a:extLst>
            <a:ext uri="{FF2B5EF4-FFF2-40B4-BE49-F238E27FC236}">
              <a16:creationId xmlns:a16="http://schemas.microsoft.com/office/drawing/2014/main" id="{7A471EF9-DCCE-4B81-A7E0-678FA567D473}"/>
            </a:ext>
          </a:extLst>
        </xdr:cNvPr>
        <xdr:cNvSpPr txBox="1"/>
      </xdr:nvSpPr>
      <xdr:spPr>
        <a:xfrm>
          <a:off x="2693302" y="4391479"/>
          <a:ext cx="899095" cy="214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920EDD6-0D34-47E4-BB24-87E3E79276AB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Direct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24</xdr:row>
      <xdr:rowOff>124755</xdr:rowOff>
    </xdr:from>
    <xdr:to>
      <xdr:col>5</xdr:col>
      <xdr:colOff>541678</xdr:colOff>
      <xdr:row>25</xdr:row>
      <xdr:rowOff>152402</xdr:rowOff>
    </xdr:to>
    <xdr:sp macro="" textlink="Sheet1!D27">
      <xdr:nvSpPr>
        <xdr:cNvPr id="34" name="TextBox 33">
          <a:extLst>
            <a:ext uri="{FF2B5EF4-FFF2-40B4-BE49-F238E27FC236}">
              <a16:creationId xmlns:a16="http://schemas.microsoft.com/office/drawing/2014/main" id="{83DFB5F0-0171-4865-AE58-8AAB014586A1}"/>
            </a:ext>
          </a:extLst>
        </xdr:cNvPr>
        <xdr:cNvSpPr txBox="1"/>
      </xdr:nvSpPr>
      <xdr:spPr>
        <a:xfrm>
          <a:off x="2690583" y="4544355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A81CE9A-2667-4A8D-A754-8D5B7777037A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7 750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26</xdr:row>
      <xdr:rowOff>71362</xdr:rowOff>
    </xdr:from>
    <xdr:to>
      <xdr:col>5</xdr:col>
      <xdr:colOff>544397</xdr:colOff>
      <xdr:row>27</xdr:row>
      <xdr:rowOff>99009</xdr:rowOff>
    </xdr:to>
    <xdr:sp macro="" textlink="Sheet1!C28">
      <xdr:nvSpPr>
        <xdr:cNvPr id="35" name="TextBox 34">
          <a:extLst>
            <a:ext uri="{FF2B5EF4-FFF2-40B4-BE49-F238E27FC236}">
              <a16:creationId xmlns:a16="http://schemas.microsoft.com/office/drawing/2014/main" id="{7D9B784D-176C-4D86-8D68-1CF23CCD9C72}"/>
            </a:ext>
          </a:extLst>
        </xdr:cNvPr>
        <xdr:cNvSpPr txBox="1"/>
      </xdr:nvSpPr>
      <xdr:spPr>
        <a:xfrm>
          <a:off x="2693302" y="4859262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8831F4E-923E-4C8A-9E8E-61FE8A37FDC5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Social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27</xdr:row>
      <xdr:rowOff>40089</xdr:rowOff>
    </xdr:from>
    <xdr:to>
      <xdr:col>5</xdr:col>
      <xdr:colOff>541678</xdr:colOff>
      <xdr:row>28</xdr:row>
      <xdr:rowOff>67735</xdr:rowOff>
    </xdr:to>
    <xdr:sp macro="" textlink="Sheet1!D28">
      <xdr:nvSpPr>
        <xdr:cNvPr id="36" name="TextBox 35">
          <a:extLst>
            <a:ext uri="{FF2B5EF4-FFF2-40B4-BE49-F238E27FC236}">
              <a16:creationId xmlns:a16="http://schemas.microsoft.com/office/drawing/2014/main" id="{75941405-10A5-4210-8262-BF79DACC63B5}"/>
            </a:ext>
          </a:extLst>
        </xdr:cNvPr>
        <xdr:cNvSpPr txBox="1"/>
      </xdr:nvSpPr>
      <xdr:spPr>
        <a:xfrm>
          <a:off x="2690583" y="5012139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7B94C1D-F74E-4233-AA66-92EAA8CA10BE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2 540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28</xdr:row>
      <xdr:rowOff>168124</xdr:rowOff>
    </xdr:from>
    <xdr:to>
      <xdr:col>5</xdr:col>
      <xdr:colOff>544397</xdr:colOff>
      <xdr:row>30</xdr:row>
      <xdr:rowOff>14342</xdr:rowOff>
    </xdr:to>
    <xdr:sp macro="" textlink="Sheet1!C29">
      <xdr:nvSpPr>
        <xdr:cNvPr id="37" name="TextBox 36">
          <a:extLst>
            <a:ext uri="{FF2B5EF4-FFF2-40B4-BE49-F238E27FC236}">
              <a16:creationId xmlns:a16="http://schemas.microsoft.com/office/drawing/2014/main" id="{D1316CE8-4984-4D9C-8F1D-0C6F47074088}"/>
            </a:ext>
          </a:extLst>
        </xdr:cNvPr>
        <xdr:cNvSpPr txBox="1"/>
      </xdr:nvSpPr>
      <xdr:spPr>
        <a:xfrm>
          <a:off x="2693302" y="5324324"/>
          <a:ext cx="899095" cy="214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77D5058-F28F-490B-A728-2D3D325C2C5C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Referral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29</xdr:row>
      <xdr:rowOff>136850</xdr:rowOff>
    </xdr:from>
    <xdr:to>
      <xdr:col>5</xdr:col>
      <xdr:colOff>541678</xdr:colOff>
      <xdr:row>30</xdr:row>
      <xdr:rowOff>164497</xdr:rowOff>
    </xdr:to>
    <xdr:sp macro="" textlink="Sheet1!D29">
      <xdr:nvSpPr>
        <xdr:cNvPr id="38" name="TextBox 37">
          <a:extLst>
            <a:ext uri="{FF2B5EF4-FFF2-40B4-BE49-F238E27FC236}">
              <a16:creationId xmlns:a16="http://schemas.microsoft.com/office/drawing/2014/main" id="{01579072-135A-422F-922A-C6A391EECFB3}"/>
            </a:ext>
          </a:extLst>
        </xdr:cNvPr>
        <xdr:cNvSpPr txBox="1"/>
      </xdr:nvSpPr>
      <xdr:spPr>
        <a:xfrm>
          <a:off x="2690583" y="5477200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C522332-87E7-4CA4-BA25-F933180AE898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16 930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254902</xdr:colOff>
      <xdr:row>31</xdr:row>
      <xdr:rowOff>83458</xdr:rowOff>
    </xdr:from>
    <xdr:to>
      <xdr:col>5</xdr:col>
      <xdr:colOff>544397</xdr:colOff>
      <xdr:row>32</xdr:row>
      <xdr:rowOff>111105</xdr:rowOff>
    </xdr:to>
    <xdr:sp macro="" textlink="Sheet1!C30">
      <xdr:nvSpPr>
        <xdr:cNvPr id="39" name="TextBox 38">
          <a:extLst>
            <a:ext uri="{FF2B5EF4-FFF2-40B4-BE49-F238E27FC236}">
              <a16:creationId xmlns:a16="http://schemas.microsoft.com/office/drawing/2014/main" id="{3876688D-DC55-447C-8D6F-73A496658A74}"/>
            </a:ext>
          </a:extLst>
        </xdr:cNvPr>
        <xdr:cNvSpPr txBox="1"/>
      </xdr:nvSpPr>
      <xdr:spPr>
        <a:xfrm>
          <a:off x="2693302" y="5792108"/>
          <a:ext cx="899095" cy="211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9DA521A-3836-45B7-90AD-B316D5309A36}" type="TxLink">
            <a:rPr lang="en-US" sz="800" b="0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Top Location</a:t>
          </a:fld>
          <a:endParaRPr lang="en-IN" sz="800" b="0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252183</xdr:colOff>
      <xdr:row>32</xdr:row>
      <xdr:rowOff>52185</xdr:rowOff>
    </xdr:from>
    <xdr:to>
      <xdr:col>5</xdr:col>
      <xdr:colOff>541678</xdr:colOff>
      <xdr:row>33</xdr:row>
      <xdr:rowOff>79831</xdr:rowOff>
    </xdr:to>
    <xdr:sp macro="" textlink="Sheet1!D30">
      <xdr:nvSpPr>
        <xdr:cNvPr id="40" name="TextBox 39">
          <a:extLst>
            <a:ext uri="{FF2B5EF4-FFF2-40B4-BE49-F238E27FC236}">
              <a16:creationId xmlns:a16="http://schemas.microsoft.com/office/drawing/2014/main" id="{2BE981D9-5454-4B2B-B89C-4501CC676879}"/>
            </a:ext>
          </a:extLst>
        </xdr:cNvPr>
        <xdr:cNvSpPr txBox="1"/>
      </xdr:nvSpPr>
      <xdr:spPr>
        <a:xfrm>
          <a:off x="2690583" y="5944985"/>
          <a:ext cx="899095" cy="2117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32F34E3-41F9-4CF5-8942-76047CC92CFE}" type="TxLink">
            <a:rPr lang="en-US" sz="1000" b="1" i="0" u="none" strike="noStrike">
              <a:solidFill>
                <a:srgbClr val="000000"/>
              </a:solidFill>
              <a:latin typeface="Montserrat"/>
              <a:ea typeface="+mn-ea"/>
              <a:cs typeface="Calibri"/>
            </a:rPr>
            <a:pPr marL="0" indent="0" algn="l"/>
            <a:t>Japan</a:t>
          </a:fld>
          <a:endParaRPr lang="en-IN" sz="1000" b="1" i="0" u="none" strike="noStrike">
            <a:solidFill>
              <a:srgbClr val="000000"/>
            </a:solidFill>
            <a:latin typeface="Montserrat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317500</xdr:colOff>
      <xdr:row>7</xdr:row>
      <xdr:rowOff>18142</xdr:rowOff>
    </xdr:from>
    <xdr:to>
      <xdr:col>12</xdr:col>
      <xdr:colOff>480785</xdr:colOff>
      <xdr:row>20</xdr:row>
      <xdr:rowOff>136071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EAE571F0-8EED-4679-BAC3-DD2198A6BCA0}"/>
            </a:ext>
          </a:extLst>
        </xdr:cNvPr>
        <xdr:cNvSpPr/>
      </xdr:nvSpPr>
      <xdr:spPr>
        <a:xfrm>
          <a:off x="3975100" y="1307192"/>
          <a:ext cx="3820885" cy="251187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353786</xdr:colOff>
      <xdr:row>9</xdr:row>
      <xdr:rowOff>36286</xdr:rowOff>
    </xdr:from>
    <xdr:to>
      <xdr:col>12</xdr:col>
      <xdr:colOff>480785</xdr:colOff>
      <xdr:row>20</xdr:row>
      <xdr:rowOff>117928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DFF788F5-C894-499B-A93B-FF5179CE80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335643</xdr:colOff>
      <xdr:row>7</xdr:row>
      <xdr:rowOff>72571</xdr:rowOff>
    </xdr:from>
    <xdr:to>
      <xdr:col>9</xdr:col>
      <xdr:colOff>235858</xdr:colOff>
      <xdr:row>8</xdr:row>
      <xdr:rowOff>117928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2882250-928B-4737-9E6C-A413FD395C26}"/>
            </a:ext>
          </a:extLst>
        </xdr:cNvPr>
        <xdr:cNvSpPr txBox="1"/>
      </xdr:nvSpPr>
      <xdr:spPr>
        <a:xfrm>
          <a:off x="3993243" y="1361621"/>
          <a:ext cx="1729015" cy="22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Visits &amp; Page Views</a:t>
          </a:r>
        </a:p>
      </xdr:txBody>
    </xdr:sp>
    <xdr:clientData/>
  </xdr:twoCellAnchor>
  <xdr:twoCellAnchor>
    <xdr:from>
      <xdr:col>13</xdr:col>
      <xdr:colOff>143329</xdr:colOff>
      <xdr:row>7</xdr:row>
      <xdr:rowOff>25399</xdr:rowOff>
    </xdr:from>
    <xdr:to>
      <xdr:col>19</xdr:col>
      <xdr:colOff>306614</xdr:colOff>
      <xdr:row>20</xdr:row>
      <xdr:rowOff>143328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66A2375-989D-49FD-B637-27C1DEB83F08}"/>
            </a:ext>
          </a:extLst>
        </xdr:cNvPr>
        <xdr:cNvSpPr/>
      </xdr:nvSpPr>
      <xdr:spPr>
        <a:xfrm>
          <a:off x="8068129" y="1314449"/>
          <a:ext cx="3820885" cy="251187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161472</xdr:colOff>
      <xdr:row>7</xdr:row>
      <xdr:rowOff>79828</xdr:rowOff>
    </xdr:from>
    <xdr:to>
      <xdr:col>16</xdr:col>
      <xdr:colOff>61687</xdr:colOff>
      <xdr:row>8</xdr:row>
      <xdr:rowOff>125185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36BD838-6244-412C-A988-035F1B16DC6B}"/>
            </a:ext>
          </a:extLst>
        </xdr:cNvPr>
        <xdr:cNvSpPr txBox="1"/>
      </xdr:nvSpPr>
      <xdr:spPr>
        <a:xfrm>
          <a:off x="8086272" y="1368878"/>
          <a:ext cx="1729015" cy="22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Bounce &amp;</a:t>
          </a:r>
          <a:r>
            <a:rPr lang="en-IN" sz="900" b="1" i="0" u="none" strike="noStrike" baseline="0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 Exit Rate</a:t>
          </a:r>
          <a:endParaRPr lang="en-IN" sz="9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13</xdr:col>
      <xdr:colOff>136072</xdr:colOff>
      <xdr:row>8</xdr:row>
      <xdr:rowOff>90714</xdr:rowOff>
    </xdr:from>
    <xdr:to>
      <xdr:col>19</xdr:col>
      <xdr:colOff>299357</xdr:colOff>
      <xdr:row>20</xdr:row>
      <xdr:rowOff>154214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F42202CA-E78A-4B7B-95F4-D8DA2ADAD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306614</xdr:colOff>
      <xdr:row>21</xdr:row>
      <xdr:rowOff>125185</xdr:rowOff>
    </xdr:from>
    <xdr:to>
      <xdr:col>12</xdr:col>
      <xdr:colOff>469899</xdr:colOff>
      <xdr:row>35</xdr:row>
      <xdr:rowOff>61685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C8B2CB31-D6A2-4AF1-A8F4-7E902C6D4292}"/>
            </a:ext>
          </a:extLst>
        </xdr:cNvPr>
        <xdr:cNvSpPr/>
      </xdr:nvSpPr>
      <xdr:spPr>
        <a:xfrm>
          <a:off x="3964214" y="3992335"/>
          <a:ext cx="3820885" cy="25146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324757</xdr:colOff>
      <xdr:row>21</xdr:row>
      <xdr:rowOff>179614</xdr:rowOff>
    </xdr:from>
    <xdr:to>
      <xdr:col>9</xdr:col>
      <xdr:colOff>224972</xdr:colOff>
      <xdr:row>23</xdr:row>
      <xdr:rowOff>43543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9EFEEA1-AA5F-4809-A6CF-92D71C993680}"/>
            </a:ext>
          </a:extLst>
        </xdr:cNvPr>
        <xdr:cNvSpPr txBox="1"/>
      </xdr:nvSpPr>
      <xdr:spPr>
        <a:xfrm>
          <a:off x="3982357" y="4046764"/>
          <a:ext cx="1729015" cy="232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Organic Vs. Paid</a:t>
          </a:r>
        </a:p>
      </xdr:txBody>
    </xdr:sp>
    <xdr:clientData/>
  </xdr:twoCellAnchor>
  <xdr:twoCellAnchor>
    <xdr:from>
      <xdr:col>6</xdr:col>
      <xdr:colOff>264887</xdr:colOff>
      <xdr:row>23</xdr:row>
      <xdr:rowOff>0</xdr:rowOff>
    </xdr:from>
    <xdr:to>
      <xdr:col>12</xdr:col>
      <xdr:colOff>489856</xdr:colOff>
      <xdr:row>35</xdr:row>
      <xdr:rowOff>99786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C819E92B-1469-4FF2-8B73-423C9AA92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141514</xdr:colOff>
      <xdr:row>21</xdr:row>
      <xdr:rowOff>132442</xdr:rowOff>
    </xdr:from>
    <xdr:to>
      <xdr:col>19</xdr:col>
      <xdr:colOff>304799</xdr:colOff>
      <xdr:row>35</xdr:row>
      <xdr:rowOff>68942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F7063FA-E892-416D-8F50-8E4608DD2D7E}"/>
            </a:ext>
          </a:extLst>
        </xdr:cNvPr>
        <xdr:cNvSpPr/>
      </xdr:nvSpPr>
      <xdr:spPr>
        <a:xfrm>
          <a:off x="8066314" y="3999592"/>
          <a:ext cx="3820885" cy="25146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161472</xdr:colOff>
      <xdr:row>21</xdr:row>
      <xdr:rowOff>179614</xdr:rowOff>
    </xdr:from>
    <xdr:to>
      <xdr:col>16</xdr:col>
      <xdr:colOff>423334</xdr:colOff>
      <xdr:row>23</xdr:row>
      <xdr:rowOff>52917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5BBD6AB-866C-4D08-8245-B1B9D7B2066A}"/>
            </a:ext>
          </a:extLst>
        </xdr:cNvPr>
        <xdr:cNvSpPr txBox="1"/>
      </xdr:nvSpPr>
      <xdr:spPr>
        <a:xfrm>
          <a:off x="8086272" y="4046764"/>
          <a:ext cx="2090662" cy="2416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Direct Vs. Social Vs. Referral</a:t>
          </a:r>
        </a:p>
      </xdr:txBody>
    </xdr:sp>
    <xdr:clientData/>
  </xdr:twoCellAnchor>
  <xdr:twoCellAnchor>
    <xdr:from>
      <xdr:col>13</xdr:col>
      <xdr:colOff>154214</xdr:colOff>
      <xdr:row>23</xdr:row>
      <xdr:rowOff>99785</xdr:rowOff>
    </xdr:from>
    <xdr:to>
      <xdr:col>19</xdr:col>
      <xdr:colOff>263071</xdr:colOff>
      <xdr:row>35</xdr:row>
      <xdr:rowOff>99785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B39CFF46-2237-4BE8-8552-ED8128E89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19</xdr:col>
      <xdr:colOff>576941</xdr:colOff>
      <xdr:row>7</xdr:row>
      <xdr:rowOff>14513</xdr:rowOff>
    </xdr:from>
    <xdr:to>
      <xdr:col>26</xdr:col>
      <xdr:colOff>326570</xdr:colOff>
      <xdr:row>35</xdr:row>
      <xdr:rowOff>72570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E5761A3-F816-4588-8C5E-D3ADCC07C19E}"/>
            </a:ext>
          </a:extLst>
        </xdr:cNvPr>
        <xdr:cNvSpPr/>
      </xdr:nvSpPr>
      <xdr:spPr>
        <a:xfrm>
          <a:off x="12159341" y="1303563"/>
          <a:ext cx="4016829" cy="5214257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595085</xdr:colOff>
      <xdr:row>7</xdr:row>
      <xdr:rowOff>68943</xdr:rowOff>
    </xdr:from>
    <xdr:to>
      <xdr:col>22</xdr:col>
      <xdr:colOff>495300</xdr:colOff>
      <xdr:row>8</xdr:row>
      <xdr:rowOff>114300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32431AD-28F1-43FB-9724-A9274E788D21}"/>
            </a:ext>
          </a:extLst>
        </xdr:cNvPr>
        <xdr:cNvSpPr txBox="1"/>
      </xdr:nvSpPr>
      <xdr:spPr>
        <a:xfrm>
          <a:off x="12177485" y="1357993"/>
          <a:ext cx="1729015" cy="229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 b="1" i="0" u="none" strike="noStrike">
              <a:solidFill>
                <a:srgbClr val="390058"/>
              </a:solidFill>
              <a:latin typeface="Montserrat" panose="00000500000000000000" pitchFamily="2" charset="0"/>
              <a:cs typeface="Calibri"/>
            </a:rPr>
            <a:t>Geographic</a:t>
          </a:r>
        </a:p>
      </xdr:txBody>
    </xdr:sp>
    <xdr:clientData/>
  </xdr:twoCellAnchor>
  <xdr:twoCellAnchor>
    <xdr:from>
      <xdr:col>20</xdr:col>
      <xdr:colOff>172357</xdr:colOff>
      <xdr:row>10</xdr:row>
      <xdr:rowOff>74083</xdr:rowOff>
    </xdr:from>
    <xdr:to>
      <xdr:col>26</xdr:col>
      <xdr:colOff>226785</xdr:colOff>
      <xdr:row>34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D2731311-B917-46D8-B519-4A55A8FB1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22</xdr:col>
      <xdr:colOff>117928</xdr:colOff>
      <xdr:row>19</xdr:row>
      <xdr:rowOff>176890</xdr:rowOff>
    </xdr:from>
    <xdr:to>
      <xdr:col>24</xdr:col>
      <xdr:colOff>281214</xdr:colOff>
      <xdr:row>23</xdr:row>
      <xdr:rowOff>24189</xdr:rowOff>
    </xdr:to>
    <xdr:sp macro="" textlink="Sheet1!H22">
      <xdr:nvSpPr>
        <xdr:cNvPr id="56" name="TextBox 55">
          <a:extLst>
            <a:ext uri="{FF2B5EF4-FFF2-40B4-BE49-F238E27FC236}">
              <a16:creationId xmlns:a16="http://schemas.microsoft.com/office/drawing/2014/main" id="{348B2A15-93A6-4BF2-A5E9-48C54599404C}"/>
            </a:ext>
          </a:extLst>
        </xdr:cNvPr>
        <xdr:cNvSpPr txBox="1"/>
      </xdr:nvSpPr>
      <xdr:spPr>
        <a:xfrm>
          <a:off x="13529128" y="3675740"/>
          <a:ext cx="1382486" cy="583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DEA691D-662C-4728-AA60-832046A27461}" type="TxLink">
            <a:rPr lang="en-US" sz="900" b="1" i="0" u="none" strike="noStrike">
              <a:solidFill>
                <a:srgbClr val="390058"/>
              </a:solidFill>
              <a:latin typeface="Montserrat"/>
              <a:cs typeface="Calibri"/>
            </a:rPr>
            <a:pPr algn="ctr"/>
            <a:t>Japan</a:t>
          </a:fld>
          <a:endParaRPr lang="en-IN" sz="10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22</xdr:col>
      <xdr:colOff>125185</xdr:colOff>
      <xdr:row>21</xdr:row>
      <xdr:rowOff>7261</xdr:rowOff>
    </xdr:from>
    <xdr:to>
      <xdr:col>24</xdr:col>
      <xdr:colOff>288471</xdr:colOff>
      <xdr:row>24</xdr:row>
      <xdr:rowOff>34475</xdr:rowOff>
    </xdr:to>
    <xdr:sp macro="" textlink="Sheet1!I22">
      <xdr:nvSpPr>
        <xdr:cNvPr id="57" name="TextBox 56">
          <a:extLst>
            <a:ext uri="{FF2B5EF4-FFF2-40B4-BE49-F238E27FC236}">
              <a16:creationId xmlns:a16="http://schemas.microsoft.com/office/drawing/2014/main" id="{86B945ED-24BF-402C-B756-6A05FEEE0694}"/>
            </a:ext>
          </a:extLst>
        </xdr:cNvPr>
        <xdr:cNvSpPr txBox="1"/>
      </xdr:nvSpPr>
      <xdr:spPr>
        <a:xfrm>
          <a:off x="13536385" y="3874411"/>
          <a:ext cx="1382486" cy="579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50AAAD-319F-4DCB-A267-A1A6D79DA003}" type="TxLink">
            <a:rPr lang="en-US" sz="1200" b="1" i="0" u="none" strike="noStrike">
              <a:solidFill>
                <a:srgbClr val="000000"/>
              </a:solidFill>
              <a:latin typeface="Montserrat"/>
              <a:cs typeface="Calibri"/>
            </a:rPr>
            <a:pPr algn="ctr"/>
            <a:t>34000</a:t>
          </a:fld>
          <a:endParaRPr lang="en-IN" sz="2000" b="1" i="0" u="none" strike="noStrike">
            <a:solidFill>
              <a:srgbClr val="390058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4</xdr:col>
      <xdr:colOff>132745</xdr:colOff>
      <xdr:row>36</xdr:row>
      <xdr:rowOff>133350</xdr:rowOff>
    </xdr:from>
    <xdr:to>
      <xdr:col>11</xdr:col>
      <xdr:colOff>226508</xdr:colOff>
      <xdr:row>41</xdr:row>
      <xdr:rowOff>173869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E4E3D5E5-7D85-4011-A6E5-713DDA24E980}"/>
            </a:ext>
          </a:extLst>
        </xdr:cNvPr>
        <xdr:cNvSpPr/>
      </xdr:nvSpPr>
      <xdr:spPr>
        <a:xfrm>
          <a:off x="2571145" y="6762750"/>
          <a:ext cx="4360963" cy="961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479865</xdr:colOff>
      <xdr:row>36</xdr:row>
      <xdr:rowOff>133350</xdr:rowOff>
    </xdr:from>
    <xdr:to>
      <xdr:col>18</xdr:col>
      <xdr:colOff>573629</xdr:colOff>
      <xdr:row>41</xdr:row>
      <xdr:rowOff>173869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FABE2073-1739-41FC-A34A-9E97F6D014AC}"/>
            </a:ext>
          </a:extLst>
        </xdr:cNvPr>
        <xdr:cNvSpPr/>
      </xdr:nvSpPr>
      <xdr:spPr>
        <a:xfrm>
          <a:off x="7185465" y="6762750"/>
          <a:ext cx="4360964" cy="961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213153</xdr:colOff>
      <xdr:row>36</xdr:row>
      <xdr:rowOff>133350</xdr:rowOff>
    </xdr:from>
    <xdr:to>
      <xdr:col>26</xdr:col>
      <xdr:colOff>306916</xdr:colOff>
      <xdr:row>41</xdr:row>
      <xdr:rowOff>173869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42130694-971C-4AD5-AAA8-058AA8D59BE9}"/>
            </a:ext>
          </a:extLst>
        </xdr:cNvPr>
        <xdr:cNvSpPr/>
      </xdr:nvSpPr>
      <xdr:spPr>
        <a:xfrm>
          <a:off x="11795553" y="6762750"/>
          <a:ext cx="4360963" cy="961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39700" dist="38100" dir="2700000" algn="tl" rotWithShape="0">
            <a:srgbClr val="390058">
              <a:alpha val="1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19</xdr:col>
      <xdr:colOff>306917</xdr:colOff>
      <xdr:row>38</xdr:row>
      <xdr:rowOff>45568</xdr:rowOff>
    </xdr:from>
    <xdr:to>
      <xdr:col>20</xdr:col>
      <xdr:colOff>89083</xdr:colOff>
      <xdr:row>40</xdr:row>
      <xdr:rowOff>81734</xdr:rowOff>
    </xdr:to>
    <xdr:pic>
      <xdr:nvPicPr>
        <xdr:cNvPr id="61" name="Graphic 60" descr="Downward trend graph">
          <a:extLst>
            <a:ext uri="{FF2B5EF4-FFF2-40B4-BE49-F238E27FC236}">
              <a16:creationId xmlns:a16="http://schemas.microsoft.com/office/drawing/2014/main" id="{6D8739F1-CA03-473E-9B72-F70801B30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1889317" y="7043268"/>
          <a:ext cx="391766" cy="404466"/>
        </a:xfrm>
        <a:prstGeom prst="rect">
          <a:avLst/>
        </a:prstGeom>
      </xdr:spPr>
    </xdr:pic>
    <xdr:clientData/>
  </xdr:twoCellAnchor>
  <xdr:twoCellAnchor editAs="oneCell">
    <xdr:from>
      <xdr:col>11</xdr:col>
      <xdr:colOff>594500</xdr:colOff>
      <xdr:row>38</xdr:row>
      <xdr:rowOff>45568</xdr:rowOff>
    </xdr:from>
    <xdr:to>
      <xdr:col>12</xdr:col>
      <xdr:colOff>376667</xdr:colOff>
      <xdr:row>40</xdr:row>
      <xdr:rowOff>81734</xdr:rowOff>
    </xdr:to>
    <xdr:pic>
      <xdr:nvPicPr>
        <xdr:cNvPr id="62" name="Graphic 61" descr="Hierarchy">
          <a:extLst>
            <a:ext uri="{FF2B5EF4-FFF2-40B4-BE49-F238E27FC236}">
              <a16:creationId xmlns:a16="http://schemas.microsoft.com/office/drawing/2014/main" id="{D0209E31-FAA8-416A-AD9C-6CB3939DD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7300100" y="7043268"/>
          <a:ext cx="391767" cy="404466"/>
        </a:xfrm>
        <a:prstGeom prst="rect">
          <a:avLst/>
        </a:prstGeom>
      </xdr:spPr>
    </xdr:pic>
    <xdr:clientData/>
  </xdr:twoCellAnchor>
  <xdr:twoCellAnchor editAs="oneCell">
    <xdr:from>
      <xdr:col>4</xdr:col>
      <xdr:colOff>236501</xdr:colOff>
      <xdr:row>38</xdr:row>
      <xdr:rowOff>45568</xdr:rowOff>
    </xdr:from>
    <xdr:to>
      <xdr:col>5</xdr:col>
      <xdr:colOff>18667</xdr:colOff>
      <xdr:row>40</xdr:row>
      <xdr:rowOff>81734</xdr:rowOff>
    </xdr:to>
    <xdr:pic>
      <xdr:nvPicPr>
        <xdr:cNvPr id="63" name="Graphic 62" descr="Pie chart">
          <a:extLst>
            <a:ext uri="{FF2B5EF4-FFF2-40B4-BE49-F238E27FC236}">
              <a16:creationId xmlns:a16="http://schemas.microsoft.com/office/drawing/2014/main" id="{63045902-479E-4AA1-989F-9CAF79996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2674901" y="7043268"/>
          <a:ext cx="391766" cy="404466"/>
        </a:xfrm>
        <a:prstGeom prst="rect">
          <a:avLst/>
        </a:prstGeom>
      </xdr:spPr>
    </xdr:pic>
    <xdr:clientData/>
  </xdr:twoCellAnchor>
  <xdr:twoCellAnchor>
    <xdr:from>
      <xdr:col>5</xdr:col>
      <xdr:colOff>148166</xdr:colOff>
      <xdr:row>37</xdr:row>
      <xdr:rowOff>169484</xdr:rowOff>
    </xdr:from>
    <xdr:to>
      <xdr:col>11</xdr:col>
      <xdr:colOff>127000</xdr:colOff>
      <xdr:row>40</xdr:row>
      <xdr:rowOff>137734</xdr:rowOff>
    </xdr:to>
    <xdr:sp macro="" textlink="Sheet1!C34">
      <xdr:nvSpPr>
        <xdr:cNvPr id="64" name="TextBox 63">
          <a:extLst>
            <a:ext uri="{FF2B5EF4-FFF2-40B4-BE49-F238E27FC236}">
              <a16:creationId xmlns:a16="http://schemas.microsoft.com/office/drawing/2014/main" id="{8F28B355-F99E-47A3-B7A9-EC2AF8D9AEC4}"/>
            </a:ext>
          </a:extLst>
        </xdr:cNvPr>
        <xdr:cNvSpPr txBox="1"/>
      </xdr:nvSpPr>
      <xdr:spPr>
        <a:xfrm>
          <a:off x="3196166" y="6983034"/>
          <a:ext cx="3636434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12</xdr:col>
      <xdr:colOff>501650</xdr:colOff>
      <xdr:row>37</xdr:row>
      <xdr:rowOff>169484</xdr:rowOff>
    </xdr:from>
    <xdr:to>
      <xdr:col>18</xdr:col>
      <xdr:colOff>480484</xdr:colOff>
      <xdr:row>40</xdr:row>
      <xdr:rowOff>137734</xdr:rowOff>
    </xdr:to>
    <xdr:sp macro="" textlink="Sheet1!C34">
      <xdr:nvSpPr>
        <xdr:cNvPr id="65" name="TextBox 64">
          <a:extLst>
            <a:ext uri="{FF2B5EF4-FFF2-40B4-BE49-F238E27FC236}">
              <a16:creationId xmlns:a16="http://schemas.microsoft.com/office/drawing/2014/main" id="{A771BE20-894B-43D1-AE4A-6A31713764A4}"/>
            </a:ext>
          </a:extLst>
        </xdr:cNvPr>
        <xdr:cNvSpPr txBox="1"/>
      </xdr:nvSpPr>
      <xdr:spPr>
        <a:xfrm>
          <a:off x="7816850" y="6983034"/>
          <a:ext cx="3636434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20</xdr:col>
      <xdr:colOff>177800</xdr:colOff>
      <xdr:row>37</xdr:row>
      <xdr:rowOff>169484</xdr:rowOff>
    </xdr:from>
    <xdr:to>
      <xdr:col>26</xdr:col>
      <xdr:colOff>156634</xdr:colOff>
      <xdr:row>40</xdr:row>
      <xdr:rowOff>137734</xdr:rowOff>
    </xdr:to>
    <xdr:sp macro="" textlink="Sheet1!C34">
      <xdr:nvSpPr>
        <xdr:cNvPr id="66" name="TextBox 65">
          <a:extLst>
            <a:ext uri="{FF2B5EF4-FFF2-40B4-BE49-F238E27FC236}">
              <a16:creationId xmlns:a16="http://schemas.microsoft.com/office/drawing/2014/main" id="{80C81DC7-4623-4E6A-8411-72AB64225EA6}"/>
            </a:ext>
          </a:extLst>
        </xdr:cNvPr>
        <xdr:cNvSpPr txBox="1"/>
      </xdr:nvSpPr>
      <xdr:spPr>
        <a:xfrm>
          <a:off x="12369800" y="6983034"/>
          <a:ext cx="3636434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8ED9098-7230-405D-A9DF-A1F803EC9536}" type="TxLink">
            <a:rPr lang="en-US" sz="800" b="0" i="0" u="none" strike="noStrike">
              <a:solidFill>
                <a:srgbClr val="000000"/>
              </a:solidFill>
              <a:latin typeface="Montserrat"/>
              <a:cs typeface="Calibri"/>
            </a:rPr>
            <a:pPr algn="l"/>
            <a:t>This is the first insight. You can some actionable insight and recommendation here. This is a dummy text.</a:t>
          </a:fld>
          <a:endParaRPr lang="en-IN"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endParaRPr>
        </a:p>
      </xdr:txBody>
    </xdr:sp>
    <xdr:clientData/>
  </xdr:twoCellAnchor>
  <xdr:twoCellAnchor>
    <xdr:from>
      <xdr:col>6</xdr:col>
      <xdr:colOff>445787</xdr:colOff>
      <xdr:row>8</xdr:row>
      <xdr:rowOff>152927</xdr:rowOff>
    </xdr:from>
    <xdr:to>
      <xdr:col>7</xdr:col>
      <xdr:colOff>188930</xdr:colOff>
      <xdr:row>9</xdr:row>
      <xdr:rowOff>9010</xdr:rowOff>
    </xdr:to>
    <xdr:sp macro="" textlink="">
      <xdr:nvSpPr>
        <xdr:cNvPr id="67" name="Rectangle: Rounded Corners 66">
          <a:extLst>
            <a:ext uri="{FF2B5EF4-FFF2-40B4-BE49-F238E27FC236}">
              <a16:creationId xmlns:a16="http://schemas.microsoft.com/office/drawing/2014/main" id="{31E3C0B8-A572-4925-BE79-B586B07FF6D2}"/>
            </a:ext>
          </a:extLst>
        </xdr:cNvPr>
        <xdr:cNvSpPr/>
      </xdr:nvSpPr>
      <xdr:spPr>
        <a:xfrm rot="5400000">
          <a:off x="4259642" y="1469872"/>
          <a:ext cx="40233" cy="352743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428854</xdr:colOff>
      <xdr:row>23</xdr:row>
      <xdr:rowOff>83077</xdr:rowOff>
    </xdr:from>
    <xdr:to>
      <xdr:col>7</xdr:col>
      <xdr:colOff>171997</xdr:colOff>
      <xdr:row>23</xdr:row>
      <xdr:rowOff>119077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2EF7A22C-6A46-432C-B75B-FAE689932739}"/>
            </a:ext>
          </a:extLst>
        </xdr:cNvPr>
        <xdr:cNvSpPr/>
      </xdr:nvSpPr>
      <xdr:spPr>
        <a:xfrm rot="5400000">
          <a:off x="4244826" y="4160155"/>
          <a:ext cx="36000" cy="352743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274338</xdr:colOff>
      <xdr:row>23</xdr:row>
      <xdr:rowOff>87310</xdr:rowOff>
    </xdr:from>
    <xdr:to>
      <xdr:col>14</xdr:col>
      <xdr:colOff>17480</xdr:colOff>
      <xdr:row>23</xdr:row>
      <xdr:rowOff>123310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9F7EE258-B1B5-45C6-B977-44338DA4847A}"/>
            </a:ext>
          </a:extLst>
        </xdr:cNvPr>
        <xdr:cNvSpPr/>
      </xdr:nvSpPr>
      <xdr:spPr>
        <a:xfrm rot="5400000">
          <a:off x="8357509" y="4164389"/>
          <a:ext cx="36000" cy="352742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289155</xdr:colOff>
      <xdr:row>8</xdr:row>
      <xdr:rowOff>152927</xdr:rowOff>
    </xdr:from>
    <xdr:to>
      <xdr:col>14</xdr:col>
      <xdr:colOff>32297</xdr:colOff>
      <xdr:row>9</xdr:row>
      <xdr:rowOff>9010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D8893C3D-3A44-4F60-BB7A-D81C5563ED50}"/>
            </a:ext>
          </a:extLst>
        </xdr:cNvPr>
        <xdr:cNvSpPr/>
      </xdr:nvSpPr>
      <xdr:spPr>
        <a:xfrm rot="5400000">
          <a:off x="8370209" y="1469873"/>
          <a:ext cx="40233" cy="352742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81721</xdr:colOff>
      <xdr:row>8</xdr:row>
      <xdr:rowOff>152927</xdr:rowOff>
    </xdr:from>
    <xdr:to>
      <xdr:col>20</xdr:col>
      <xdr:colOff>438697</xdr:colOff>
      <xdr:row>9</xdr:row>
      <xdr:rowOff>9010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572811BC-D7AF-46A4-A6C1-CFD1C710A014}"/>
            </a:ext>
          </a:extLst>
        </xdr:cNvPr>
        <xdr:cNvSpPr/>
      </xdr:nvSpPr>
      <xdr:spPr>
        <a:xfrm rot="5400000">
          <a:off x="12432092" y="1467756"/>
          <a:ext cx="40233" cy="356976"/>
        </a:xfrm>
        <a:prstGeom prst="roundRect">
          <a:avLst>
            <a:gd name="adj" fmla="val 50000"/>
          </a:avLst>
        </a:prstGeom>
        <a:solidFill>
          <a:srgbClr val="3900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  <a:ln w="9525" cmpd="sng">
          <a:noFill/>
        </a:ln>
      </a:spPr>
      <a:bodyPr vertOverflow="clip" horzOverflow="clip" wrap="square" rtlCol="0" anchor="t"/>
      <a:lstStyle>
        <a:defPPr algn="l">
          <a:defRPr sz="900" b="0" i="0" u="none" strike="noStrike">
            <a:solidFill>
              <a:schemeClr val="bg1"/>
            </a:solidFill>
            <a:latin typeface="Montserrat" panose="00000500000000000000" pitchFamily="2" charset="0"/>
            <a:cs typeface="Calibri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7856-CE6D-4E56-863B-3CB44E7DF78B}">
  <dimension ref="A1:X38"/>
  <sheetViews>
    <sheetView showGridLines="0" tabSelected="1" zoomScale="90" zoomScaleNormal="90" workbookViewId="0">
      <selection activeCell="A6" sqref="A6"/>
    </sheetView>
  </sheetViews>
  <sheetFormatPr defaultRowHeight="14.4" x14ac:dyDescent="0.3"/>
  <cols>
    <col min="1" max="16384" width="8.88671875" style="11"/>
  </cols>
  <sheetData>
    <row r="1" spans="1:24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5A6F-449B-4035-91A1-C88A59D2562F}">
  <dimension ref="A1:X38"/>
  <sheetViews>
    <sheetView showGridLines="0" zoomScale="90" zoomScaleNormal="90" workbookViewId="0"/>
  </sheetViews>
  <sheetFormatPr defaultRowHeight="14.4" x14ac:dyDescent="0.3"/>
  <cols>
    <col min="1" max="16384" width="8.88671875" style="11"/>
  </cols>
  <sheetData>
    <row r="1" spans="1:24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475C-A618-4274-A9F0-98C6F636A82D}">
  <dimension ref="A1:X38"/>
  <sheetViews>
    <sheetView showGridLines="0" zoomScale="90" zoomScaleNormal="90" workbookViewId="0">
      <selection activeCell="A11" sqref="A11"/>
    </sheetView>
  </sheetViews>
  <sheetFormatPr defaultRowHeight="14.4" x14ac:dyDescent="0.3"/>
  <cols>
    <col min="1" max="16384" width="8.88671875" style="11"/>
  </cols>
  <sheetData>
    <row r="1" spans="1:24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ACD4-CAA3-4B47-A953-E33F5FC18C38}">
  <dimension ref="A1:X38"/>
  <sheetViews>
    <sheetView showGridLines="0" zoomScale="90" zoomScaleNormal="90" workbookViewId="0"/>
  </sheetViews>
  <sheetFormatPr defaultRowHeight="14.4" x14ac:dyDescent="0.3"/>
  <cols>
    <col min="1" max="16384" width="8.88671875" style="11"/>
  </cols>
  <sheetData>
    <row r="1" spans="1:24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AC44-F963-42FA-B5C0-37C5C2419AF7}">
  <dimension ref="A1:X38"/>
  <sheetViews>
    <sheetView showGridLines="0" zoomScale="90" zoomScaleNormal="90" workbookViewId="0"/>
  </sheetViews>
  <sheetFormatPr defaultRowHeight="14.4" x14ac:dyDescent="0.3"/>
  <cols>
    <col min="1" max="16384" width="8.88671875" style="11"/>
  </cols>
  <sheetData>
    <row r="1" spans="1:24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M36"/>
  <sheetViews>
    <sheetView workbookViewId="0">
      <selection activeCell="L24" sqref="L24"/>
    </sheetView>
  </sheetViews>
  <sheetFormatPr defaultColWidth="8.77734375" defaultRowHeight="12" x14ac:dyDescent="0.3"/>
  <cols>
    <col min="1" max="2" width="8.77734375" style="3"/>
    <col min="3" max="3" width="8.6640625" style="3" customWidth="1"/>
    <col min="4" max="4" width="10.21875" style="3" bestFit="1" customWidth="1"/>
    <col min="5" max="11" width="8.6640625" style="3" customWidth="1"/>
    <col min="12" max="16384" width="8.77734375" style="3"/>
  </cols>
  <sheetData>
    <row r="1" spans="2:11" x14ac:dyDescent="0.3">
      <c r="B1" s="3" t="s">
        <v>30</v>
      </c>
    </row>
    <row r="2" spans="2:11" x14ac:dyDescent="0.3">
      <c r="B2" s="3" t="s">
        <v>31</v>
      </c>
    </row>
    <row r="3" spans="2:11" x14ac:dyDescent="0.3">
      <c r="B3" s="3" t="s">
        <v>32</v>
      </c>
    </row>
    <row r="5" spans="2:11" x14ac:dyDescent="0.3">
      <c r="B5" s="1" t="s">
        <v>21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</row>
    <row r="6" spans="2:11" x14ac:dyDescent="0.3">
      <c r="B6" s="4" t="s">
        <v>0</v>
      </c>
      <c r="C6" s="3">
        <v>5500</v>
      </c>
      <c r="D6" s="3">
        <f>C6+2890</f>
        <v>8390</v>
      </c>
      <c r="E6" s="5">
        <v>0.5</v>
      </c>
      <c r="F6" s="5">
        <v>0.39</v>
      </c>
      <c r="G6" s="3">
        <v>2400</v>
      </c>
      <c r="H6" s="3">
        <v>450</v>
      </c>
      <c r="I6" s="3">
        <v>790</v>
      </c>
      <c r="J6" s="3">
        <v>180</v>
      </c>
      <c r="K6" s="3">
        <f>C6-(SUM(G6:J6))</f>
        <v>1680</v>
      </c>
    </row>
    <row r="7" spans="2:11" x14ac:dyDescent="0.3">
      <c r="B7" s="4" t="s">
        <v>1</v>
      </c>
      <c r="C7" s="3">
        <v>5400</v>
      </c>
      <c r="D7" s="3">
        <f t="shared" ref="D7:D17" si="0">C7+2890</f>
        <v>8290</v>
      </c>
      <c r="E7" s="5">
        <v>0.45</v>
      </c>
      <c r="F7" s="5">
        <v>0.48</v>
      </c>
      <c r="G7" s="3">
        <v>2600</v>
      </c>
      <c r="H7" s="3">
        <v>650</v>
      </c>
      <c r="I7" s="3">
        <v>670</v>
      </c>
      <c r="J7" s="3">
        <v>210</v>
      </c>
      <c r="K7" s="3">
        <f t="shared" ref="K7:K17" si="1">C7-(SUM(G7:J7))</f>
        <v>1270</v>
      </c>
    </row>
    <row r="8" spans="2:11" x14ac:dyDescent="0.3">
      <c r="B8" s="4" t="s">
        <v>2</v>
      </c>
      <c r="C8" s="3">
        <v>5600</v>
      </c>
      <c r="D8" s="3">
        <f t="shared" si="0"/>
        <v>8490</v>
      </c>
      <c r="E8" s="5">
        <v>0.43</v>
      </c>
      <c r="F8" s="5">
        <v>0.46</v>
      </c>
      <c r="G8" s="3">
        <v>2700</v>
      </c>
      <c r="H8" s="3">
        <v>750</v>
      </c>
      <c r="I8" s="3">
        <v>560</v>
      </c>
      <c r="J8" s="3">
        <v>230</v>
      </c>
      <c r="K8" s="3">
        <f t="shared" si="1"/>
        <v>1360</v>
      </c>
    </row>
    <row r="9" spans="2:11" x14ac:dyDescent="0.3">
      <c r="B9" s="4" t="s">
        <v>3</v>
      </c>
      <c r="C9" s="3">
        <v>5700</v>
      </c>
      <c r="D9" s="3">
        <f t="shared" si="0"/>
        <v>8590</v>
      </c>
      <c r="E9" s="5">
        <v>0.45</v>
      </c>
      <c r="F9" s="5">
        <v>0.45</v>
      </c>
      <c r="G9" s="3">
        <v>3200</v>
      </c>
      <c r="H9" s="3">
        <v>650</v>
      </c>
      <c r="I9" s="3">
        <v>730</v>
      </c>
      <c r="J9" s="3">
        <v>240</v>
      </c>
      <c r="K9" s="3">
        <f t="shared" si="1"/>
        <v>880</v>
      </c>
    </row>
    <row r="10" spans="2:11" x14ac:dyDescent="0.3">
      <c r="B10" s="4" t="s">
        <v>4</v>
      </c>
      <c r="C10" s="3">
        <v>5300</v>
      </c>
      <c r="D10" s="3">
        <f t="shared" si="0"/>
        <v>8190</v>
      </c>
      <c r="E10" s="5">
        <v>0.46</v>
      </c>
      <c r="F10" s="5">
        <v>0.53</v>
      </c>
      <c r="G10" s="3">
        <v>2100</v>
      </c>
      <c r="H10" s="3">
        <v>480</v>
      </c>
      <c r="I10" s="3">
        <v>750</v>
      </c>
      <c r="J10" s="3">
        <v>190</v>
      </c>
      <c r="K10" s="3">
        <f t="shared" si="1"/>
        <v>1780</v>
      </c>
    </row>
    <row r="11" spans="2:11" x14ac:dyDescent="0.3">
      <c r="B11" s="4" t="s">
        <v>5</v>
      </c>
      <c r="C11" s="3">
        <v>5400</v>
      </c>
      <c r="D11" s="3">
        <f t="shared" si="0"/>
        <v>8290</v>
      </c>
      <c r="E11" s="5">
        <v>0.5</v>
      </c>
      <c r="F11" s="5">
        <v>0.45</v>
      </c>
      <c r="G11" s="3">
        <v>2400</v>
      </c>
      <c r="H11" s="3">
        <v>560</v>
      </c>
      <c r="I11" s="3">
        <v>650</v>
      </c>
      <c r="J11" s="3">
        <v>170</v>
      </c>
      <c r="K11" s="3">
        <f t="shared" si="1"/>
        <v>1620</v>
      </c>
    </row>
    <row r="12" spans="2:11" x14ac:dyDescent="0.3">
      <c r="B12" s="4" t="s">
        <v>6</v>
      </c>
      <c r="C12" s="3">
        <v>5500</v>
      </c>
      <c r="D12" s="3">
        <f t="shared" si="0"/>
        <v>8390</v>
      </c>
      <c r="E12" s="5">
        <v>0.45</v>
      </c>
      <c r="F12" s="5">
        <v>0.43</v>
      </c>
      <c r="G12" s="3">
        <v>2600</v>
      </c>
      <c r="H12" s="3">
        <v>790</v>
      </c>
      <c r="I12" s="3">
        <v>730</v>
      </c>
      <c r="J12" s="3">
        <v>160</v>
      </c>
      <c r="K12" s="3">
        <f t="shared" si="1"/>
        <v>1220</v>
      </c>
    </row>
    <row r="13" spans="2:11" x14ac:dyDescent="0.3">
      <c r="B13" s="4" t="s">
        <v>7</v>
      </c>
      <c r="C13" s="3">
        <v>5100</v>
      </c>
      <c r="D13" s="3">
        <f t="shared" si="0"/>
        <v>7990</v>
      </c>
      <c r="E13" s="5">
        <v>0.53</v>
      </c>
      <c r="F13" s="5">
        <v>0.45</v>
      </c>
      <c r="G13" s="3">
        <v>2700</v>
      </c>
      <c r="H13" s="3">
        <v>670</v>
      </c>
      <c r="I13" s="3">
        <v>640</v>
      </c>
      <c r="J13" s="3">
        <v>180</v>
      </c>
      <c r="K13" s="3">
        <f t="shared" si="1"/>
        <v>910</v>
      </c>
    </row>
    <row r="14" spans="2:11" x14ac:dyDescent="0.3">
      <c r="B14" s="4" t="s">
        <v>8</v>
      </c>
      <c r="C14" s="3">
        <v>5200</v>
      </c>
      <c r="D14" s="3">
        <f t="shared" si="0"/>
        <v>8090</v>
      </c>
      <c r="E14" s="5">
        <v>0.45</v>
      </c>
      <c r="F14" s="5">
        <v>0.46</v>
      </c>
      <c r="G14" s="3">
        <v>2600</v>
      </c>
      <c r="H14" s="3">
        <v>560</v>
      </c>
      <c r="I14" s="3">
        <v>350</v>
      </c>
      <c r="J14" s="3">
        <v>190</v>
      </c>
      <c r="K14" s="3">
        <f t="shared" si="1"/>
        <v>1500</v>
      </c>
    </row>
    <row r="15" spans="2:11" x14ac:dyDescent="0.3">
      <c r="B15" s="4" t="s">
        <v>9</v>
      </c>
      <c r="C15" s="3">
        <v>5800</v>
      </c>
      <c r="D15" s="3">
        <f t="shared" si="0"/>
        <v>8690</v>
      </c>
      <c r="E15" s="5">
        <v>0.39</v>
      </c>
      <c r="F15" s="5">
        <v>0.5</v>
      </c>
      <c r="G15" s="3">
        <v>2300</v>
      </c>
      <c r="H15" s="3">
        <v>730</v>
      </c>
      <c r="I15" s="3">
        <v>750</v>
      </c>
      <c r="J15" s="3">
        <v>230</v>
      </c>
      <c r="K15" s="3">
        <f t="shared" si="1"/>
        <v>1790</v>
      </c>
    </row>
    <row r="16" spans="2:11" x14ac:dyDescent="0.3">
      <c r="B16" s="4" t="s">
        <v>10</v>
      </c>
      <c r="C16" s="3">
        <v>5600</v>
      </c>
      <c r="D16" s="3">
        <f t="shared" si="0"/>
        <v>8490</v>
      </c>
      <c r="E16" s="5">
        <v>0.48</v>
      </c>
      <c r="F16" s="5">
        <v>0.45</v>
      </c>
      <c r="G16" s="3">
        <v>2800</v>
      </c>
      <c r="H16" s="3">
        <v>640</v>
      </c>
      <c r="I16" s="3">
        <v>650</v>
      </c>
      <c r="J16" s="3">
        <v>270</v>
      </c>
      <c r="K16" s="3">
        <f t="shared" si="1"/>
        <v>1240</v>
      </c>
    </row>
    <row r="17" spans="2:13" x14ac:dyDescent="0.3">
      <c r="B17" s="4" t="s">
        <v>11</v>
      </c>
      <c r="C17" s="3">
        <v>5700</v>
      </c>
      <c r="D17" s="3">
        <f t="shared" si="0"/>
        <v>8590</v>
      </c>
      <c r="E17" s="5">
        <v>0.46</v>
      </c>
      <c r="F17" s="5">
        <v>0.46</v>
      </c>
      <c r="G17" s="3">
        <v>2900</v>
      </c>
      <c r="H17" s="3">
        <v>350</v>
      </c>
      <c r="I17" s="3">
        <v>480</v>
      </c>
      <c r="J17" s="3">
        <v>290</v>
      </c>
      <c r="K17" s="3">
        <f t="shared" si="1"/>
        <v>1680</v>
      </c>
    </row>
    <row r="18" spans="2:13" x14ac:dyDescent="0.3">
      <c r="C18" s="1">
        <f>SUM(C6:C17)</f>
        <v>65800</v>
      </c>
      <c r="D18" s="1">
        <f>SUM(D6:D17)</f>
        <v>100480</v>
      </c>
      <c r="E18" s="6">
        <v>0.45</v>
      </c>
      <c r="F18" s="6">
        <v>0.44</v>
      </c>
      <c r="G18" s="1">
        <f>SUM(G6:G17)</f>
        <v>31300</v>
      </c>
      <c r="H18" s="1">
        <f t="shared" ref="H18:K18" si="2">SUM(H6:H17)</f>
        <v>7280</v>
      </c>
      <c r="I18" s="1">
        <f t="shared" si="2"/>
        <v>7750</v>
      </c>
      <c r="J18" s="1">
        <f t="shared" si="2"/>
        <v>2540</v>
      </c>
      <c r="K18" s="1">
        <f t="shared" si="2"/>
        <v>16930</v>
      </c>
    </row>
    <row r="21" spans="2:13" x14ac:dyDescent="0.3">
      <c r="C21" s="1" t="s">
        <v>12</v>
      </c>
      <c r="D21" s="10">
        <f>C18</f>
        <v>65800</v>
      </c>
      <c r="I21" s="3" t="s">
        <v>13</v>
      </c>
    </row>
    <row r="22" spans="2:13" x14ac:dyDescent="0.3">
      <c r="C22" s="1" t="s">
        <v>13</v>
      </c>
      <c r="D22" s="10">
        <f>D18</f>
        <v>100480</v>
      </c>
      <c r="H22" s="3" t="s">
        <v>22</v>
      </c>
      <c r="I22" s="3">
        <v>34000</v>
      </c>
      <c r="K22" s="3" t="str">
        <f>H22&amp;CHAR(10)&amp;I22</f>
        <v>Japan
34000</v>
      </c>
    </row>
    <row r="23" spans="2:13" x14ac:dyDescent="0.3">
      <c r="C23" s="1" t="s">
        <v>14</v>
      </c>
      <c r="D23" s="6">
        <f>E18</f>
        <v>0.45</v>
      </c>
      <c r="H23" s="3" t="s">
        <v>23</v>
      </c>
      <c r="I23" s="3">
        <v>33000</v>
      </c>
    </row>
    <row r="24" spans="2:13" x14ac:dyDescent="0.3">
      <c r="C24" s="1" t="s">
        <v>15</v>
      </c>
      <c r="D24" s="6">
        <f>F18</f>
        <v>0.44</v>
      </c>
      <c r="H24" s="3" t="s">
        <v>24</v>
      </c>
      <c r="I24" s="3">
        <v>25690</v>
      </c>
      <c r="M24" s="7"/>
    </row>
    <row r="25" spans="2:13" x14ac:dyDescent="0.3">
      <c r="C25" s="1" t="s">
        <v>16</v>
      </c>
      <c r="D25" s="10">
        <f>G18</f>
        <v>31300</v>
      </c>
      <c r="H25" s="3" t="s">
        <v>25</v>
      </c>
      <c r="I25" s="3">
        <v>13750</v>
      </c>
    </row>
    <row r="26" spans="2:13" x14ac:dyDescent="0.3">
      <c r="C26" s="1" t="s">
        <v>17</v>
      </c>
      <c r="D26" s="10">
        <f>H18</f>
        <v>7280</v>
      </c>
      <c r="H26" s="3" t="s">
        <v>26</v>
      </c>
      <c r="I26" s="3">
        <v>19560</v>
      </c>
    </row>
    <row r="27" spans="2:13" x14ac:dyDescent="0.3">
      <c r="C27" s="1" t="s">
        <v>18</v>
      </c>
      <c r="D27" s="10">
        <f>I18</f>
        <v>7750</v>
      </c>
      <c r="H27" s="3" t="s">
        <v>27</v>
      </c>
      <c r="I27" s="3">
        <v>17540</v>
      </c>
    </row>
    <row r="28" spans="2:13" x14ac:dyDescent="0.3">
      <c r="C28" s="1" t="s">
        <v>19</v>
      </c>
      <c r="D28" s="10">
        <f>J18</f>
        <v>2540</v>
      </c>
      <c r="H28" s="3" t="s">
        <v>28</v>
      </c>
      <c r="I28" s="3">
        <v>22340</v>
      </c>
    </row>
    <row r="29" spans="2:13" x14ac:dyDescent="0.3">
      <c r="C29" s="1" t="s">
        <v>20</v>
      </c>
      <c r="D29" s="10">
        <f>K18</f>
        <v>16930</v>
      </c>
    </row>
    <row r="30" spans="2:13" x14ac:dyDescent="0.3">
      <c r="C30" s="1" t="s">
        <v>29</v>
      </c>
      <c r="D30" s="9" t="s">
        <v>22</v>
      </c>
    </row>
    <row r="34" spans="3:3" x14ac:dyDescent="0.3">
      <c r="C34" s="3" t="s">
        <v>33</v>
      </c>
    </row>
    <row r="35" spans="3:3" x14ac:dyDescent="0.3">
      <c r="C35" s="3" t="s">
        <v>33</v>
      </c>
    </row>
    <row r="36" spans="3:3" x14ac:dyDescent="0.3">
      <c r="C36" s="3" t="s">
        <v>33</v>
      </c>
    </row>
  </sheetData>
  <phoneticPr fontId="1" type="noConversion"/>
  <pageMargins left="0.7" right="0.7" top="0.75" bottom="0.75" header="0.3" footer="0.3"/>
  <pageSetup orientation="portrait" r:id="rId1"/>
  <ignoredErrors>
    <ignoredError sqref="K6 K7:K17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068E-3BEB-416B-ABB5-7B6F844058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3883-8A31-4A16-AF80-5232E6969609}">
  <dimension ref="A1"/>
  <sheetViews>
    <sheetView showGridLines="0" showRowColHeaders="0" zoomScale="60" zoomScaleNormal="60" workbookViewId="0">
      <selection activeCell="AF35" sqref="AF35"/>
    </sheetView>
  </sheetViews>
  <sheetFormatPr defaultColWidth="8.77734375" defaultRowHeight="14.4" x14ac:dyDescent="0.3"/>
  <cols>
    <col min="1" max="16384" width="8.77734375" style="8"/>
  </cols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85B3-EDBB-475D-AE85-3D08FC6C75CB}">
  <dimension ref="A1"/>
  <sheetViews>
    <sheetView showGridLines="0" zoomScale="60" zoomScaleNormal="60" workbookViewId="0">
      <selection activeCell="AF35" sqref="AF35"/>
    </sheetView>
  </sheetViews>
  <sheetFormatPr defaultColWidth="8.77734375" defaultRowHeight="14.4" x14ac:dyDescent="0.3"/>
  <cols>
    <col min="1" max="16384" width="8.77734375" style="8"/>
  </cols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E5A0-CACC-4F53-8699-C109EF76EEA4}">
  <dimension ref="A1"/>
  <sheetViews>
    <sheetView showGridLines="0" zoomScale="60" zoomScaleNormal="60" workbookViewId="0">
      <selection activeCell="AF35" sqref="AF35"/>
    </sheetView>
  </sheetViews>
  <sheetFormatPr defaultColWidth="8.77734375" defaultRowHeight="14.4" x14ac:dyDescent="0.3"/>
  <cols>
    <col min="1" max="16384" width="8.77734375" style="8"/>
  </cols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D80E-4F55-4B19-909E-FD6AC7C0D806}">
  <dimension ref="A1"/>
  <sheetViews>
    <sheetView showGridLines="0" zoomScale="60" zoomScaleNormal="60" workbookViewId="0">
      <selection activeCell="AF35" sqref="AF35"/>
    </sheetView>
  </sheetViews>
  <sheetFormatPr defaultColWidth="8.77734375" defaultRowHeight="14.4" x14ac:dyDescent="0.3"/>
  <cols>
    <col min="1" max="16384" width="8.77734375" style="8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D827-7555-4680-B243-DA99ABB962ED}">
  <dimension ref="A1"/>
  <sheetViews>
    <sheetView showGridLines="0" zoomScale="60" zoomScaleNormal="60" workbookViewId="0">
      <selection activeCell="AF35" sqref="AF35"/>
    </sheetView>
  </sheetViews>
  <sheetFormatPr defaultColWidth="8.77734375" defaultRowHeight="14.4" x14ac:dyDescent="0.3"/>
  <cols>
    <col min="1" max="16384" width="8.77734375" style="8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 1</vt:lpstr>
      <vt:lpstr>Tab 2</vt:lpstr>
      <vt:lpstr>Tab 3</vt:lpstr>
      <vt:lpstr>Tab 4</vt:lpstr>
      <vt:lpstr>Tab 5</vt:lpstr>
      <vt:lpstr>Sheet1</vt:lpstr>
      <vt:lpstr>example&gt;</vt:lpstr>
      <vt:lpstr>old_Tab 1</vt:lpstr>
      <vt:lpstr>old_Tab 2</vt:lpstr>
      <vt:lpstr>old_Tab 3</vt:lpstr>
      <vt:lpstr>old_Tab 4</vt:lpstr>
      <vt:lpstr>old_Tab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Sharma</dc:creator>
  <cp:lastModifiedBy>Lenovo</cp:lastModifiedBy>
  <dcterms:created xsi:type="dcterms:W3CDTF">2015-06-05T18:17:20Z</dcterms:created>
  <dcterms:modified xsi:type="dcterms:W3CDTF">2026-02-24T13:24:06Z</dcterms:modified>
</cp:coreProperties>
</file>